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Managed Spend" sheetId="1" state="visible" r:id="rId1"/>
  </sheets>
  <definedNames>
    <definedName name="_xlnm._FilterDatabase" localSheetId="0" hidden="1">'Q4 2025 Managed Spend'!$A$8:$J$93</definedName>
    <definedName name="_xlnm.Print_Titles" localSheetId="0">'Q4 2025 Managed Spend'!$8:$8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1"/>
    </font>
    <font>
      <name val="Calibri"/>
      <b val="1"/>
      <sz val="11"/>
    </font>
    <font>
      <name val="Segoe UI"/>
      <b val="1"/>
      <color rgb="00FFFFFF"/>
      <sz val="14"/>
    </font>
    <font>
      <name val="Segoe UI"/>
      <b val="1"/>
      <color rgb="00334155"/>
      <sz val="9.5"/>
    </font>
    <font>
      <name val="Segoe UI"/>
      <color rgb="00475569"/>
      <sz val="9.5"/>
    </font>
    <font>
      <name val="Segoe UI"/>
      <b val="1"/>
      <color rgb="00FFFFFF"/>
      <sz val="10"/>
    </font>
    <font>
      <name val="Segoe UI"/>
      <color rgb="0064748B"/>
      <sz val="9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color rgb="0094A3B8"/>
      <sz val="9"/>
    </font>
    <font>
      <name val="Segoe UI"/>
      <i val="1"/>
      <color rgb="0064748B"/>
      <sz val="9"/>
    </font>
    <font>
      <name val="Segoe UI"/>
      <b val="1"/>
      <color rgb="000369A1"/>
      <sz val="9.5"/>
    </font>
    <font>
      <name val="Segoe UI"/>
      <b val="1"/>
      <color rgb="000F172A"/>
      <sz val="10.5"/>
    </font>
    <font>
      <name val="Segoe UI"/>
      <color rgb="FF334155"/>
      <sz val="9"/>
    </font>
  </fonts>
  <fills count="10">
    <fill>
      <patternFill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F2F5F9"/>
        <bgColor rgb="FFF2F5F9"/>
      </patternFill>
    </fill>
    <fill>
      <patternFill patternType="solid">
        <fgColor rgb="FFDCE4EF"/>
        <bgColor rgb="FFDCE4E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bottom style="medium">
        <color rgb="000EA5E9"/>
      </bottom>
    </border>
    <border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  <border>
      <left/>
      <right/>
      <top style="thin">
        <color rgb="000F172A"/>
      </top>
      <bottom/>
      <diagonal/>
    </border>
    <border>
      <left/>
      <right/>
      <top style="thin">
        <color rgb="000F172A"/>
      </top>
      <bottom style="double">
        <color rgb="000F172A"/>
      </bottom>
      <diagonal/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right/>
      <top style="thin">
        <color rgb="000F172A"/>
      </top>
      <bottom style="double">
        <color rgb="000F172A"/>
      </bottom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7" fillId="6" borderId="6" applyAlignment="1" pivotButton="0" quotePrefix="0" xfId="0">
      <alignment horizontal="right" vertical="center"/>
    </xf>
    <xf numFmtId="0" fontId="8" fillId="6" borderId="7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7" fillId="6" borderId="9" applyAlignment="1" pivotButton="0" quotePrefix="0" xfId="0">
      <alignment horizontal="right" vertical="center"/>
    </xf>
    <xf numFmtId="0" fontId="8" fillId="6" borderId="10" applyAlignment="1" pivotButton="0" quotePrefix="0" xfId="0">
      <alignment horizontal="left" vertical="center" wrapText="1"/>
    </xf>
    <xf numFmtId="0" fontId="8" fillId="6" borderId="11" applyAlignment="1" pivotButton="0" quotePrefix="0" xfId="0">
      <alignment horizontal="left" vertical="center" wrapText="1"/>
    </xf>
    <xf numFmtId="0" fontId="7" fillId="6" borderId="12" applyAlignment="1" pivotButton="0" quotePrefix="0" xfId="0">
      <alignment horizontal="right" vertical="center"/>
    </xf>
    <xf numFmtId="0" fontId="8" fillId="6" borderId="13" applyAlignment="1" pivotButton="0" quotePrefix="0" xfId="0">
      <alignment horizontal="left" vertical="center" wrapText="1"/>
    </xf>
    <xf numFmtId="0" fontId="8" fillId="6" borderId="14" applyAlignment="1" pivotButton="0" quotePrefix="0" xfId="0">
      <alignment horizontal="left" vertical="center" wrapText="1"/>
    </xf>
    <xf numFmtId="0" fontId="9" fillId="7" borderId="15" applyAlignment="1" pivotButton="0" quotePrefix="0" xfId="0">
      <alignment horizontal="left" vertical="center"/>
    </xf>
    <xf numFmtId="0" fontId="9" fillId="7" borderId="15" applyAlignment="1" pivotButton="0" quotePrefix="0" xfId="0">
      <alignment horizontal="center" vertical="center"/>
    </xf>
    <xf numFmtId="0" fontId="9" fillId="7" borderId="15" applyAlignment="1" pivotButton="0" quotePrefix="0" xfId="0">
      <alignment horizontal="right" vertical="center"/>
    </xf>
    <xf numFmtId="0" fontId="10" fillId="8" borderId="16" applyAlignment="1" pivotButton="0" quotePrefix="0" xfId="0">
      <alignment horizontal="left" vertical="center"/>
    </xf>
    <xf numFmtId="0" fontId="11" fillId="8" borderId="16" applyAlignment="1" pivotButton="0" quotePrefix="0" xfId="0">
      <alignment horizontal="left" vertical="center"/>
    </xf>
    <xf numFmtId="0" fontId="12" fillId="8" borderId="16" applyAlignment="1" pivotButton="0" quotePrefix="0" xfId="0">
      <alignment horizontal="left" vertical="center"/>
    </xf>
    <xf numFmtId="0" fontId="13" fillId="8" borderId="16" applyAlignment="1" pivotButton="0" quotePrefix="0" xfId="0">
      <alignment horizontal="center" vertical="center"/>
    </xf>
    <xf numFmtId="164" fontId="12" fillId="8" borderId="16" applyAlignment="1" pivotButton="0" quotePrefix="0" xfId="0">
      <alignment horizontal="right" vertical="center"/>
    </xf>
    <xf numFmtId="164" fontId="11" fillId="8" borderId="16" applyAlignment="1" pivotButton="0" quotePrefix="0" xfId="0">
      <alignment horizontal="right" vertical="center"/>
    </xf>
    <xf numFmtId="0" fontId="14" fillId="8" borderId="16" applyAlignment="1" pivotButton="0" quotePrefix="0" xfId="0">
      <alignment horizontal="left" vertical="center"/>
    </xf>
    <xf numFmtId="0" fontId="10" fillId="6" borderId="16" applyAlignment="1" pivotButton="0" quotePrefix="0" xfId="0">
      <alignment horizontal="left" vertical="center"/>
    </xf>
    <xf numFmtId="0" fontId="11" fillId="6" borderId="16" applyAlignment="1" pivotButton="0" quotePrefix="0" xfId="0">
      <alignment horizontal="left" vertical="center"/>
    </xf>
    <xf numFmtId="0" fontId="12" fillId="6" borderId="16" applyAlignment="1" pivotButton="0" quotePrefix="0" xfId="0">
      <alignment horizontal="left" vertical="center"/>
    </xf>
    <xf numFmtId="0" fontId="13" fillId="6" borderId="16" applyAlignment="1" pivotButton="0" quotePrefix="0" xfId="0">
      <alignment horizontal="center" vertical="center"/>
    </xf>
    <xf numFmtId="164" fontId="12" fillId="6" borderId="16" applyAlignment="1" pivotButton="0" quotePrefix="0" xfId="0">
      <alignment horizontal="right" vertical="center"/>
    </xf>
    <xf numFmtId="164" fontId="11" fillId="6" borderId="16" applyAlignment="1" pivotButton="0" quotePrefix="0" xfId="0">
      <alignment horizontal="right" vertical="center"/>
    </xf>
    <xf numFmtId="0" fontId="14" fillId="6" borderId="16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/>
    </xf>
    <xf numFmtId="0" fontId="15" fillId="8" borderId="16" applyAlignment="1" pivotButton="0" quotePrefix="0" xfId="0">
      <alignment horizontal="center" vertical="center"/>
    </xf>
    <xf numFmtId="0" fontId="16" fillId="9" borderId="17" applyAlignment="1" pivotButton="0" quotePrefix="0" xfId="0">
      <alignment horizontal="left" vertical="center"/>
    </xf>
    <xf numFmtId="164" fontId="16" fillId="9" borderId="17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9" pivotButton="0" quotePrefix="0" xfId="0"/>
    <xf numFmtId="0" fontId="8" fillId="6" borderId="27" applyAlignment="1" pivotButton="0" quotePrefix="0" xfId="0">
      <alignment horizontal="left" vertical="center" wrapText="1"/>
    </xf>
    <xf numFmtId="0" fontId="8" fillId="6" borderId="26" applyAlignment="1" pivotButton="0" quotePrefix="0" xfId="0">
      <alignment horizontal="left" vertical="center" wrapText="1"/>
    </xf>
    <xf numFmtId="0" fontId="16" fillId="9" borderId="25" applyAlignment="1" pivotButton="0" quotePrefix="0" xfId="0">
      <alignment horizontal="left" vertical="center"/>
    </xf>
    <xf numFmtId="0" fontId="17" fillId="8" borderId="16" applyAlignment="1" pivotButton="0" quotePrefix="0" xfId="0">
      <alignment horizontal="center" vertical="center"/>
    </xf>
    <xf numFmtId="0" fontId="17" fillId="6" borderId="1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4"/>
  <sheetViews>
    <sheetView showGridLines="1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22" customWidth="1" min="4" max="4"/>
    <col width="18" customWidth="1" min="5" max="5"/>
    <col width="18" customWidth="1" min="6" max="6"/>
    <col width="18" customWidth="1" min="7" max="7"/>
    <col width="22" customWidth="1" min="8" max="8"/>
    <col width="25" customWidth="1" min="9" max="9"/>
    <col width="46" customWidth="1" min="10" max="10"/>
  </cols>
  <sheetData>
    <row r="1" ht="40" customHeight="1">
      <c r="A1" s="18" t="inlineStr">
        <is>
          <t>THORNFIELD LIFE SCIENCES MARKETING — Q4 2025 Managed Spend Export (Platform-Level, by Client)</t>
        </is>
      </c>
    </row>
    <row r="2" ht="20" customHeight="1">
      <c r="A2" s="19" t="inlineStr">
        <is>
          <t>Prepared by:</t>
        </is>
      </c>
      <c r="B2" s="55" t="inlineStr">
        <is>
          <t>Grace Feldman, Director, Analytics &amp; Reporting</t>
        </is>
      </c>
      <c r="C2" s="49" t="n"/>
      <c r="D2" s="49" t="n"/>
      <c r="E2" s="49" t="n"/>
      <c r="F2" s="49" t="n"/>
      <c r="G2" s="49" t="n"/>
      <c r="H2" s="49" t="n"/>
      <c r="I2" s="49" t="n"/>
      <c r="J2" s="50" t="n"/>
    </row>
    <row r="3" ht="24" customHeight="1">
      <c r="A3" s="22" t="inlineStr">
        <is>
          <t>Source:</t>
        </is>
      </c>
      <c r="B3" s="56" t="inlineStr">
        <is>
          <t>ERPNext (erp.thornfieldlsm.com) — Customer master joined to Sales Order line items, aggregated by billing month</t>
        </is>
      </c>
      <c r="J3" s="51" t="n"/>
    </row>
    <row r="4" ht="28" customHeight="1">
      <c r="A4" s="22" t="inlineStr">
        <is>
          <t>Reporting basis:</t>
        </is>
      </c>
      <c r="B4" s="56" t="inlineStr">
        <is>
          <t>Gross platform spend managed by Thornfield on behalf of client during the quarter (excludes management fee, reserve, and pass-through creative production).</t>
        </is>
      </c>
      <c r="J4" s="51" t="n"/>
    </row>
    <row r="5" ht="20" customHeight="1">
      <c r="A5" s="22" t="inlineStr">
        <is>
          <t>Data as of:</t>
        </is>
      </c>
      <c r="B5" s="56" t="inlineStr">
        <is>
          <t>01/06/2026 (Q4 2025 books closed 12/31/2025)</t>
        </is>
      </c>
      <c r="J5" s="51" t="n"/>
    </row>
    <row r="6" ht="20" customHeight="1">
      <c r="A6" s="25" t="inlineStr">
        <is>
          <t>Currency:</t>
        </is>
      </c>
      <c r="B6" s="27" t="inlineStr">
        <is>
          <t>USD, format $#,##0</t>
        </is>
      </c>
      <c r="C6" s="52" t="n"/>
      <c r="D6" s="52" t="n"/>
      <c r="E6" s="52" t="n"/>
      <c r="F6" s="52" t="n"/>
      <c r="G6" s="52" t="n"/>
      <c r="H6" s="52" t="n"/>
      <c r="I6" s="52" t="n"/>
      <c r="J6" s="53" t="n"/>
    </row>
    <row r="7" ht="12" customHeight="1"/>
    <row r="8" ht="32" customHeight="1">
      <c r="A8" s="28" t="inlineStr">
        <is>
          <t>ERPNext Customer ID</t>
        </is>
      </c>
      <c r="B8" s="28" t="inlineStr">
        <is>
          <t>Client Name</t>
        </is>
      </c>
      <c r="C8" s="28" t="inlineStr">
        <is>
          <t>Account Origin</t>
        </is>
      </c>
      <c r="D8" s="29" t="inlineStr">
        <is>
          <t>Regulated Client (Y/N)</t>
        </is>
      </c>
      <c r="E8" s="30" t="inlineStr">
        <is>
          <t>Oct 2025 Spend</t>
        </is>
      </c>
      <c r="F8" s="30" t="inlineStr">
        <is>
          <t>Nov 2025 Spend</t>
        </is>
      </c>
      <c r="G8" s="30" t="inlineStr">
        <is>
          <t>Dec 2025 Spend</t>
        </is>
      </c>
      <c r="H8" s="30" t="inlineStr">
        <is>
          <t>Q4 2025 Total Spend</t>
        </is>
      </c>
      <c r="I8" s="28" t="inlineStr">
        <is>
          <t>Primary Platform</t>
        </is>
      </c>
      <c r="J8" s="28" t="inlineStr">
        <is>
          <t>Notes</t>
        </is>
      </c>
    </row>
    <row r="9" ht="22" customHeight="1">
      <c r="A9" s="31" t="inlineStr">
        <is>
          <t>CUST-2025-0004</t>
        </is>
      </c>
      <c r="B9" s="32" t="inlineStr">
        <is>
          <t>Pennywell Life Sciences</t>
        </is>
      </c>
      <c r="C9" s="33" t="inlineStr">
        <is>
          <t>Thornfield native</t>
        </is>
      </c>
      <c r="D9" s="58" t="inlineStr">
        <is>
          <t>N</t>
        </is>
      </c>
      <c r="E9" s="35" t="n">
        <v>54500</v>
      </c>
      <c r="F9" s="35" t="n">
        <v>55000</v>
      </c>
      <c r="G9" s="35" t="n">
        <v>54000</v>
      </c>
      <c r="H9" s="36" t="n">
        <v>163500</v>
      </c>
      <c r="I9" s="33" t="inlineStr">
        <is>
          <t>LinkedIn Ads</t>
        </is>
      </c>
      <c r="J9" s="37" t="inlineStr"/>
    </row>
    <row r="10" ht="22" customHeight="1">
      <c r="A10" s="38" t="inlineStr">
        <is>
          <t>CUST-2025-0006</t>
        </is>
      </c>
      <c r="B10" s="39" t="inlineStr">
        <is>
          <t>Ravenshill Assay Group</t>
        </is>
      </c>
      <c r="C10" s="40" t="inlineStr">
        <is>
          <t>Thornfield native</t>
        </is>
      </c>
      <c r="D10" s="59" t="inlineStr">
        <is>
          <t>N</t>
        </is>
      </c>
      <c r="E10" s="42" t="n">
        <v>8900</v>
      </c>
      <c r="F10" s="42" t="n">
        <v>9200</v>
      </c>
      <c r="G10" s="42" t="n">
        <v>8900</v>
      </c>
      <c r="H10" s="43" t="n">
        <v>27000</v>
      </c>
      <c r="I10" s="40" t="inlineStr">
        <is>
          <t>Trade Publications</t>
        </is>
      </c>
      <c r="J10" s="44" t="inlineStr"/>
    </row>
    <row r="11" ht="22" customHeight="1">
      <c r="A11" s="31" t="inlineStr">
        <is>
          <t>CUST-2025-0007</t>
        </is>
      </c>
      <c r="B11" s="32" t="inlineStr">
        <is>
          <t>Thistlewood Biosystems</t>
        </is>
      </c>
      <c r="C11" s="33" t="inlineStr">
        <is>
          <t>Thornfield native</t>
        </is>
      </c>
      <c r="D11" s="58" t="inlineStr">
        <is>
          <t>N</t>
        </is>
      </c>
      <c r="E11" s="35" t="n">
        <v>18400</v>
      </c>
      <c r="F11" s="35" t="n">
        <v>19200</v>
      </c>
      <c r="G11" s="35" t="n">
        <v>17900</v>
      </c>
      <c r="H11" s="36" t="n">
        <v>55500</v>
      </c>
      <c r="I11" s="33" t="inlineStr">
        <is>
          <t>LinkedIn Ads</t>
        </is>
      </c>
      <c r="J11" s="37" t="inlineStr"/>
    </row>
    <row r="12" ht="22" customHeight="1">
      <c r="A12" s="38" t="inlineStr">
        <is>
          <t>CUST-2025-0011</t>
        </is>
      </c>
      <c r="B12" s="39" t="inlineStr">
        <is>
          <t>Halstead Analytical</t>
        </is>
      </c>
      <c r="C12" s="40" t="inlineStr">
        <is>
          <t>Thornfield native</t>
        </is>
      </c>
      <c r="D12" s="59" t="inlineStr">
        <is>
          <t>N</t>
        </is>
      </c>
      <c r="E12" s="42" t="n">
        <v>34000</v>
      </c>
      <c r="F12" s="42" t="n">
        <v>36000</v>
      </c>
      <c r="G12" s="42" t="n">
        <v>35000</v>
      </c>
      <c r="H12" s="43" t="n">
        <v>105000</v>
      </c>
      <c r="I12" s="40" t="inlineStr">
        <is>
          <t>Google Ads</t>
        </is>
      </c>
      <c r="J12" s="44" t="inlineStr"/>
    </row>
    <row r="13" ht="22" customHeight="1">
      <c r="A13" s="31" t="inlineStr">
        <is>
          <t>CUST-2025-0014</t>
        </is>
      </c>
      <c r="B13" s="32" t="inlineStr">
        <is>
          <t>Fairview Reagents</t>
        </is>
      </c>
      <c r="C13" s="33" t="inlineStr">
        <is>
          <t>Thornfield native</t>
        </is>
      </c>
      <c r="D13" s="58" t="inlineStr">
        <is>
          <t>N</t>
        </is>
      </c>
      <c r="E13" s="35" t="n">
        <v>8200</v>
      </c>
      <c r="F13" s="35" t="n">
        <v>7800</v>
      </c>
      <c r="G13" s="35" t="n">
        <v>8000</v>
      </c>
      <c r="H13" s="36" t="n">
        <v>24000</v>
      </c>
      <c r="I13" s="33" t="inlineStr">
        <is>
          <t>LinkedIn Ads</t>
        </is>
      </c>
      <c r="J13" s="37" t="inlineStr"/>
    </row>
    <row r="14" ht="22" customHeight="1">
      <c r="A14" s="38" t="inlineStr">
        <is>
          <t>CUST-2025-0016</t>
        </is>
      </c>
      <c r="B14" s="39" t="inlineStr">
        <is>
          <t>Brackenwood Diagnostics</t>
        </is>
      </c>
      <c r="C14" s="40" t="inlineStr">
        <is>
          <t>Thornfield native</t>
        </is>
      </c>
      <c r="D14" s="45" t="inlineStr">
        <is>
          <t>Y</t>
        </is>
      </c>
      <c r="E14" s="42" t="n">
        <v>22500</v>
      </c>
      <c r="F14" s="42" t="n">
        <v>24000</v>
      </c>
      <c r="G14" s="42" t="n">
        <v>23500</v>
      </c>
      <c r="H14" s="43" t="n">
        <v>70000</v>
      </c>
      <c r="I14" s="40" t="inlineStr">
        <is>
          <t>LinkedIn Ads</t>
        </is>
      </c>
      <c r="J14" s="44" t="inlineStr">
        <is>
          <t>regulated client</t>
        </is>
      </c>
    </row>
    <row r="15" ht="22" customHeight="1">
      <c r="A15" s="31" t="inlineStr">
        <is>
          <t>CUST-2025-0019</t>
        </is>
      </c>
      <c r="B15" s="32" t="inlineStr">
        <is>
          <t>Silverbrook Bioscience</t>
        </is>
      </c>
      <c r="C15" s="33" t="inlineStr">
        <is>
          <t>Thornfield native</t>
        </is>
      </c>
      <c r="D15" s="58" t="inlineStr">
        <is>
          <t>N</t>
        </is>
      </c>
      <c r="E15" s="35" t="n">
        <v>41000</v>
      </c>
      <c r="F15" s="35" t="n">
        <v>42000</v>
      </c>
      <c r="G15" s="35" t="n">
        <v>40000</v>
      </c>
      <c r="H15" s="36" t="n">
        <v>123000</v>
      </c>
      <c r="I15" s="33" t="inlineStr">
        <is>
          <t>Programmatic Display</t>
        </is>
      </c>
      <c r="J15" s="37" t="inlineStr"/>
    </row>
    <row r="16" ht="22" customHeight="1">
      <c r="A16" s="38" t="inlineStr">
        <is>
          <t>CUST-2025-0022</t>
        </is>
      </c>
      <c r="B16" s="39" t="inlineStr">
        <is>
          <t>Ipswich Molecular</t>
        </is>
      </c>
      <c r="C16" s="40" t="inlineStr">
        <is>
          <t>Thornfield native</t>
        </is>
      </c>
      <c r="D16" s="59" t="inlineStr">
        <is>
          <t>N</t>
        </is>
      </c>
      <c r="E16" s="42" t="n">
        <v>16000</v>
      </c>
      <c r="F16" s="42" t="n">
        <v>15500</v>
      </c>
      <c r="G16" s="42" t="n">
        <v>16500</v>
      </c>
      <c r="H16" s="43" t="n">
        <v>48000</v>
      </c>
      <c r="I16" s="40" t="inlineStr">
        <is>
          <t>Google Ads</t>
        </is>
      </c>
      <c r="J16" s="44" t="inlineStr"/>
    </row>
    <row r="17" ht="22" customHeight="1">
      <c r="A17" s="31" t="inlineStr">
        <is>
          <t>CUST-2025-0025</t>
        </is>
      </c>
      <c r="B17" s="32" t="inlineStr">
        <is>
          <t>Kettering Assay Labs</t>
        </is>
      </c>
      <c r="C17" s="33" t="inlineStr">
        <is>
          <t>Thornfield native</t>
        </is>
      </c>
      <c r="D17" s="58" t="inlineStr">
        <is>
          <t>N</t>
        </is>
      </c>
      <c r="E17" s="35" t="n">
        <v>9600</v>
      </c>
      <c r="F17" s="35" t="n">
        <v>10200</v>
      </c>
      <c r="G17" s="35" t="n">
        <v>9700</v>
      </c>
      <c r="H17" s="36" t="n">
        <v>29500</v>
      </c>
      <c r="I17" s="33" t="inlineStr">
        <is>
          <t>Trade Publications</t>
        </is>
      </c>
      <c r="J17" s="37" t="inlineStr"/>
    </row>
    <row r="18" ht="22" customHeight="1">
      <c r="A18" s="38" t="inlineStr">
        <is>
          <t>CUST-2025-0028</t>
        </is>
      </c>
      <c r="B18" s="39" t="inlineStr">
        <is>
          <t>Prospect Cell Systems</t>
        </is>
      </c>
      <c r="C18" s="40" t="inlineStr">
        <is>
          <t>Thornfield native</t>
        </is>
      </c>
      <c r="D18" s="59" t="inlineStr">
        <is>
          <t>N</t>
        </is>
      </c>
      <c r="E18" s="42" t="n">
        <v>27300</v>
      </c>
      <c r="F18" s="42" t="n">
        <v>28100</v>
      </c>
      <c r="G18" s="42" t="n">
        <v>27600</v>
      </c>
      <c r="H18" s="43" t="n">
        <v>83000</v>
      </c>
      <c r="I18" s="40" t="inlineStr">
        <is>
          <t>LinkedIn Ads</t>
        </is>
      </c>
      <c r="J18" s="44" t="inlineStr"/>
    </row>
    <row r="19" ht="22" customHeight="1">
      <c r="A19" s="31" t="inlineStr">
        <is>
          <t>CUST-2025-0031</t>
        </is>
      </c>
      <c r="B19" s="32" t="inlineStr">
        <is>
          <t>Redcliff Bioinstruments</t>
        </is>
      </c>
      <c r="C19" s="33" t="inlineStr">
        <is>
          <t>Thornfield native</t>
        </is>
      </c>
      <c r="D19" s="46" t="inlineStr">
        <is>
          <t>Y</t>
        </is>
      </c>
      <c r="E19" s="35" t="n">
        <v>54000</v>
      </c>
      <c r="F19" s="35" t="n">
        <v>55000</v>
      </c>
      <c r="G19" s="35" t="n">
        <v>54500</v>
      </c>
      <c r="H19" s="36" t="n">
        <v>163500</v>
      </c>
      <c r="I19" s="33" t="inlineStr">
        <is>
          <t>Programmatic Display</t>
        </is>
      </c>
      <c r="J19" s="37" t="inlineStr"/>
    </row>
    <row r="20" ht="22" customHeight="1">
      <c r="A20" s="38" t="inlineStr">
        <is>
          <t>CUST-2025-0033</t>
        </is>
      </c>
      <c r="B20" s="39" t="inlineStr">
        <is>
          <t>Marlstone Bioscience</t>
        </is>
      </c>
      <c r="C20" s="40" t="inlineStr">
        <is>
          <t>Thornfield native</t>
        </is>
      </c>
      <c r="D20" s="59" t="inlineStr">
        <is>
          <t>N</t>
        </is>
      </c>
      <c r="E20" s="42" t="n">
        <v>62800</v>
      </c>
      <c r="F20" s="42" t="n">
        <v>65200</v>
      </c>
      <c r="G20" s="42" t="n">
        <v>67000</v>
      </c>
      <c r="H20" s="43" t="n">
        <v>195000</v>
      </c>
      <c r="I20" s="40" t="inlineStr">
        <is>
          <t>LinkedIn Ads</t>
        </is>
      </c>
      <c r="J20" s="44" t="inlineStr">
        <is>
          <t>Platform-level media spend; distinct from billed service fees. Q4 media placement includes November paid-social burst.</t>
        </is>
      </c>
    </row>
    <row r="21" ht="22" customHeight="1">
      <c r="A21" s="31" t="inlineStr">
        <is>
          <t>CUST-2025-0037</t>
        </is>
      </c>
      <c r="B21" s="32" t="inlineStr">
        <is>
          <t>Steeplechase Diagnostics</t>
        </is>
      </c>
      <c r="C21" s="33" t="inlineStr">
        <is>
          <t>Thornfield native</t>
        </is>
      </c>
      <c r="D21" s="46" t="inlineStr">
        <is>
          <t>Y</t>
        </is>
      </c>
      <c r="E21" s="35" t="n">
        <v>38000</v>
      </c>
      <c r="F21" s="35" t="n">
        <v>37500</v>
      </c>
      <c r="G21" s="35" t="n">
        <v>38500</v>
      </c>
      <c r="H21" s="36" t="n">
        <v>114000</v>
      </c>
      <c r="I21" s="33" t="inlineStr">
        <is>
          <t>Google Ads</t>
        </is>
      </c>
      <c r="J21" s="37" t="inlineStr">
        <is>
          <t>regulated client</t>
        </is>
      </c>
    </row>
    <row r="22" ht="22" customHeight="1">
      <c r="A22" s="38" t="inlineStr">
        <is>
          <t>CUST-2025-0041</t>
        </is>
      </c>
      <c r="B22" s="39" t="inlineStr">
        <is>
          <t>Kennebec Genomics</t>
        </is>
      </c>
      <c r="C22" s="40" t="inlineStr">
        <is>
          <t>Thornfield native</t>
        </is>
      </c>
      <c r="D22" s="59" t="inlineStr">
        <is>
          <t>N</t>
        </is>
      </c>
      <c r="E22" s="42" t="n">
        <v>71000</v>
      </c>
      <c r="F22" s="42" t="n">
        <v>70000</v>
      </c>
      <c r="G22" s="42" t="n">
        <v>72000</v>
      </c>
      <c r="H22" s="43" t="n">
        <v>213000</v>
      </c>
      <c r="I22" s="40" t="inlineStr">
        <is>
          <t>LinkedIn Ads</t>
        </is>
      </c>
      <c r="J22" s="44" t="inlineStr"/>
    </row>
    <row r="23" ht="22" customHeight="1">
      <c r="A23" s="31" t="inlineStr">
        <is>
          <t>CUST-2025-0044</t>
        </is>
      </c>
      <c r="B23" s="32" t="inlineStr">
        <is>
          <t>Cavendish Life Sciences</t>
        </is>
      </c>
      <c r="C23" s="33" t="inlineStr">
        <is>
          <t>Thornfield native</t>
        </is>
      </c>
      <c r="D23" s="58" t="inlineStr">
        <is>
          <t>N</t>
        </is>
      </c>
      <c r="E23" s="35" t="n">
        <v>12300</v>
      </c>
      <c r="F23" s="35" t="n">
        <v>11800</v>
      </c>
      <c r="G23" s="35" t="n">
        <v>12400</v>
      </c>
      <c r="H23" s="36" t="n">
        <v>36500</v>
      </c>
      <c r="I23" s="33" t="inlineStr">
        <is>
          <t>Google Ads</t>
        </is>
      </c>
      <c r="J23" s="37" t="inlineStr"/>
    </row>
    <row r="24" ht="22" customHeight="1">
      <c r="A24" s="38" t="inlineStr">
        <is>
          <t>CUST-2025-0047</t>
        </is>
      </c>
      <c r="B24" s="39" t="inlineStr">
        <is>
          <t>Weybridge Scientific</t>
        </is>
      </c>
      <c r="C24" s="40" t="inlineStr">
        <is>
          <t>Thornfield native</t>
        </is>
      </c>
      <c r="D24" s="45" t="inlineStr">
        <is>
          <t>Y</t>
        </is>
      </c>
      <c r="E24" s="42" t="n">
        <v>6200</v>
      </c>
      <c r="F24" s="42" t="n">
        <v>5800</v>
      </c>
      <c r="G24" s="42" t="n">
        <v>6000</v>
      </c>
      <c r="H24" s="43" t="n">
        <v>18000</v>
      </c>
      <c r="I24" s="40" t="inlineStr">
        <is>
          <t>Trade Publications</t>
        </is>
      </c>
      <c r="J24" s="44" t="inlineStr"/>
    </row>
    <row r="25" ht="22" customHeight="1">
      <c r="A25" s="31" t="inlineStr">
        <is>
          <t>CUST-2025-0049</t>
        </is>
      </c>
      <c r="B25" s="32" t="inlineStr">
        <is>
          <t>Trenton Labware</t>
        </is>
      </c>
      <c r="C25" s="33" t="inlineStr">
        <is>
          <t>Thornfield native</t>
        </is>
      </c>
      <c r="D25" s="58" t="inlineStr">
        <is>
          <t>N</t>
        </is>
      </c>
      <c r="E25" s="35" t="n">
        <v>19500</v>
      </c>
      <c r="F25" s="35" t="n">
        <v>20000</v>
      </c>
      <c r="G25" s="35" t="n">
        <v>19500</v>
      </c>
      <c r="H25" s="36" t="n">
        <v>59000</v>
      </c>
      <c r="I25" s="33" t="inlineStr">
        <is>
          <t>LinkedIn Ads</t>
        </is>
      </c>
      <c r="J25" s="37" t="inlineStr"/>
    </row>
    <row r="26" ht="22" customHeight="1">
      <c r="A26" s="38" t="inlineStr">
        <is>
          <t>CUST-2025-0052</t>
        </is>
      </c>
      <c r="B26" s="39" t="inlineStr">
        <is>
          <t>Ashcombe Diagnostics</t>
        </is>
      </c>
      <c r="C26" s="40" t="inlineStr">
        <is>
          <t>Thornfield native</t>
        </is>
      </c>
      <c r="D26" s="45" t="inlineStr">
        <is>
          <t>Y</t>
        </is>
      </c>
      <c r="E26" s="42" t="n">
        <v>46000</v>
      </c>
      <c r="F26" s="42" t="n">
        <v>48000</v>
      </c>
      <c r="G26" s="42" t="n">
        <v>47000</v>
      </c>
      <c r="H26" s="43" t="n">
        <v>141000</v>
      </c>
      <c r="I26" s="40" t="inlineStr">
        <is>
          <t>Google Ads</t>
        </is>
      </c>
      <c r="J26" s="44" t="inlineStr">
        <is>
          <t>regulated client</t>
        </is>
      </c>
    </row>
    <row r="27" ht="22" customHeight="1">
      <c r="A27" s="31" t="inlineStr">
        <is>
          <t>CUST-2025-0056</t>
        </is>
      </c>
      <c r="B27" s="32" t="inlineStr">
        <is>
          <t>Fenland Bioanalytics</t>
        </is>
      </c>
      <c r="C27" s="33" t="inlineStr">
        <is>
          <t>Thornfield native</t>
        </is>
      </c>
      <c r="D27" s="58" t="inlineStr">
        <is>
          <t>N</t>
        </is>
      </c>
      <c r="E27" s="35" t="n">
        <v>23400</v>
      </c>
      <c r="F27" s="35" t="n">
        <v>23800</v>
      </c>
      <c r="G27" s="35" t="n">
        <v>23300</v>
      </c>
      <c r="H27" s="36" t="n">
        <v>70500</v>
      </c>
      <c r="I27" s="33" t="inlineStr">
        <is>
          <t>LinkedIn Ads</t>
        </is>
      </c>
      <c r="J27" s="37" t="inlineStr"/>
    </row>
    <row r="28" ht="22" customHeight="1">
      <c r="A28" s="38" t="inlineStr">
        <is>
          <t>CUST-2025-0059</t>
        </is>
      </c>
      <c r="B28" s="39" t="inlineStr">
        <is>
          <t>Hollowridge Molecular</t>
        </is>
      </c>
      <c r="C28" s="40" t="inlineStr">
        <is>
          <t>Thornfield native</t>
        </is>
      </c>
      <c r="D28" s="45" t="inlineStr">
        <is>
          <t>Y</t>
        </is>
      </c>
      <c r="E28" s="42" t="n">
        <v>8400</v>
      </c>
      <c r="F28" s="42" t="n">
        <v>8900</v>
      </c>
      <c r="G28" s="42" t="n">
        <v>8700</v>
      </c>
      <c r="H28" s="43" t="n">
        <v>26000</v>
      </c>
      <c r="I28" s="40" t="inlineStr">
        <is>
          <t>Programmatic Display</t>
        </is>
      </c>
      <c r="J28" s="44" t="inlineStr"/>
    </row>
    <row r="29" ht="22" customHeight="1">
      <c r="A29" s="31" t="inlineStr">
        <is>
          <t>CUST-2025-0063</t>
        </is>
      </c>
      <c r="B29" s="32" t="inlineStr">
        <is>
          <t>Palliser Diagnostics</t>
        </is>
      </c>
      <c r="C29" s="33" t="inlineStr">
        <is>
          <t>Thornfield native</t>
        </is>
      </c>
      <c r="D29" s="46" t="inlineStr">
        <is>
          <t>Y</t>
        </is>
      </c>
      <c r="E29" s="35" t="n">
        <v>59000</v>
      </c>
      <c r="F29" s="35" t="n">
        <v>60000</v>
      </c>
      <c r="G29" s="35" t="n">
        <v>61000</v>
      </c>
      <c r="H29" s="36" t="n">
        <v>180000</v>
      </c>
      <c r="I29" s="33" t="inlineStr">
        <is>
          <t>LinkedIn Ads</t>
        </is>
      </c>
      <c r="J29" s="37" t="inlineStr">
        <is>
          <t>regulated client</t>
        </is>
      </c>
    </row>
    <row r="30" ht="22" customHeight="1">
      <c r="A30" s="38" t="inlineStr">
        <is>
          <t>CUST-2025-0066</t>
        </is>
      </c>
      <c r="B30" s="39" t="inlineStr">
        <is>
          <t>Tavistock Bioimaging</t>
        </is>
      </c>
      <c r="C30" s="40" t="inlineStr">
        <is>
          <t>Thornfield native</t>
        </is>
      </c>
      <c r="D30" s="59" t="inlineStr">
        <is>
          <t>N</t>
        </is>
      </c>
      <c r="E30" s="42" t="n">
        <v>32500</v>
      </c>
      <c r="F30" s="42" t="n">
        <v>33000</v>
      </c>
      <c r="G30" s="42" t="n">
        <v>32500</v>
      </c>
      <c r="H30" s="43" t="n">
        <v>98000</v>
      </c>
      <c r="I30" s="40" t="inlineStr">
        <is>
          <t>Programmatic Display</t>
        </is>
      </c>
      <c r="J30" s="44" t="inlineStr"/>
    </row>
    <row r="31" ht="22" customHeight="1">
      <c r="A31" s="31" t="inlineStr">
        <is>
          <t>CUST-2025-0069</t>
        </is>
      </c>
      <c r="B31" s="32" t="inlineStr">
        <is>
          <t>Wrenwood Reagent Systems</t>
        </is>
      </c>
      <c r="C31" s="33" t="inlineStr">
        <is>
          <t>Thornfield native</t>
        </is>
      </c>
      <c r="D31" s="58" t="inlineStr">
        <is>
          <t>N</t>
        </is>
      </c>
      <c r="E31" s="35" t="n">
        <v>11200</v>
      </c>
      <c r="F31" s="35" t="n">
        <v>10800</v>
      </c>
      <c r="G31" s="35" t="n">
        <v>11000</v>
      </c>
      <c r="H31" s="36" t="n">
        <v>33000</v>
      </c>
      <c r="I31" s="33" t="inlineStr">
        <is>
          <t>Google Ads</t>
        </is>
      </c>
      <c r="J31" s="37" t="inlineStr"/>
    </row>
    <row r="32" ht="22" customHeight="1">
      <c r="A32" s="38" t="inlineStr">
        <is>
          <t>CUST-2025-0072</t>
        </is>
      </c>
      <c r="B32" s="39" t="inlineStr">
        <is>
          <t>Pennington Cell Therapy</t>
        </is>
      </c>
      <c r="C32" s="40" t="inlineStr">
        <is>
          <t>Thornfield native</t>
        </is>
      </c>
      <c r="D32" s="45" t="inlineStr">
        <is>
          <t>Y</t>
        </is>
      </c>
      <c r="E32" s="42" t="n">
        <v>88000</v>
      </c>
      <c r="F32" s="42" t="n">
        <v>89000</v>
      </c>
      <c r="G32" s="42" t="n">
        <v>90000</v>
      </c>
      <c r="H32" s="43" t="n">
        <v>267000</v>
      </c>
      <c r="I32" s="40" t="inlineStr">
        <is>
          <t>LinkedIn Ads</t>
        </is>
      </c>
      <c r="J32" s="44" t="inlineStr">
        <is>
          <t>regulated client</t>
        </is>
      </c>
    </row>
    <row r="33" ht="22" customHeight="1">
      <c r="A33" s="31" t="inlineStr">
        <is>
          <t>CUST-2025-0075</t>
        </is>
      </c>
      <c r="B33" s="32" t="inlineStr">
        <is>
          <t>Cornhill Diagnostics</t>
        </is>
      </c>
      <c r="C33" s="33" t="inlineStr">
        <is>
          <t>Thornfield native</t>
        </is>
      </c>
      <c r="D33" s="46" t="inlineStr">
        <is>
          <t>Y</t>
        </is>
      </c>
      <c r="E33" s="35" t="n">
        <v>14500</v>
      </c>
      <c r="F33" s="35" t="n">
        <v>15000</v>
      </c>
      <c r="G33" s="35" t="n">
        <v>14500</v>
      </c>
      <c r="H33" s="36" t="n">
        <v>44000</v>
      </c>
      <c r="I33" s="33" t="inlineStr">
        <is>
          <t>Google Ads</t>
        </is>
      </c>
      <c r="J33" s="37" t="inlineStr">
        <is>
          <t>regulated client</t>
        </is>
      </c>
    </row>
    <row r="34" ht="22" customHeight="1">
      <c r="A34" s="38" t="inlineStr">
        <is>
          <t>CUST-2025-0078</t>
        </is>
      </c>
      <c r="B34" s="39" t="inlineStr">
        <is>
          <t>Roxwell Molecular Labs</t>
        </is>
      </c>
      <c r="C34" s="40" t="inlineStr">
        <is>
          <t>Thornfield native</t>
        </is>
      </c>
      <c r="D34" s="59" t="inlineStr">
        <is>
          <t>N</t>
        </is>
      </c>
      <c r="E34" s="42" t="n">
        <v>42000</v>
      </c>
      <c r="F34" s="42" t="n">
        <v>41000</v>
      </c>
      <c r="G34" s="42" t="n">
        <v>42000</v>
      </c>
      <c r="H34" s="43" t="n">
        <v>125000</v>
      </c>
      <c r="I34" s="40" t="inlineStr">
        <is>
          <t>LinkedIn Ads</t>
        </is>
      </c>
      <c r="J34" s="44" t="inlineStr"/>
    </row>
    <row r="35" ht="22" customHeight="1">
      <c r="A35" s="31" t="inlineStr">
        <is>
          <t>CUST-2025-0081</t>
        </is>
      </c>
      <c r="B35" s="32" t="inlineStr">
        <is>
          <t>Dunstan Bioanalytics</t>
        </is>
      </c>
      <c r="C35" s="33" t="inlineStr">
        <is>
          <t>Thornfield native</t>
        </is>
      </c>
      <c r="D35" s="58" t="inlineStr">
        <is>
          <t>N</t>
        </is>
      </c>
      <c r="E35" s="35" t="n">
        <v>7000</v>
      </c>
      <c r="F35" s="35" t="n">
        <v>6800</v>
      </c>
      <c r="G35" s="35" t="n">
        <v>7200</v>
      </c>
      <c r="H35" s="36" t="n">
        <v>21000</v>
      </c>
      <c r="I35" s="33" t="inlineStr">
        <is>
          <t>Trade Publications</t>
        </is>
      </c>
      <c r="J35" s="37" t="inlineStr"/>
    </row>
    <row r="36" ht="22" customHeight="1">
      <c r="A36" s="38" t="inlineStr">
        <is>
          <t>CUST-2025-0084</t>
        </is>
      </c>
      <c r="B36" s="39" t="inlineStr">
        <is>
          <t>Braemar Life Sciences</t>
        </is>
      </c>
      <c r="C36" s="40" t="inlineStr">
        <is>
          <t>Thornfield native</t>
        </is>
      </c>
      <c r="D36" s="59" t="inlineStr">
        <is>
          <t>N</t>
        </is>
      </c>
      <c r="E36" s="42" t="n">
        <v>28000</v>
      </c>
      <c r="F36" s="42" t="n">
        <v>29000</v>
      </c>
      <c r="G36" s="42" t="n">
        <v>28000</v>
      </c>
      <c r="H36" s="43" t="n">
        <v>85000</v>
      </c>
      <c r="I36" s="40" t="inlineStr">
        <is>
          <t>Programmatic Display</t>
        </is>
      </c>
      <c r="J36" s="44" t="inlineStr"/>
    </row>
    <row r="37" ht="22" customHeight="1">
      <c r="A37" s="31" t="inlineStr">
        <is>
          <t>CUST-2025-0088</t>
        </is>
      </c>
      <c r="B37" s="32" t="inlineStr">
        <is>
          <t>Caldwell Diagnostics</t>
        </is>
      </c>
      <c r="C37" s="33" t="inlineStr">
        <is>
          <t>Thornfield native</t>
        </is>
      </c>
      <c r="D37" s="46" t="inlineStr">
        <is>
          <t>Y</t>
        </is>
      </c>
      <c r="E37" s="35" t="n">
        <v>44000</v>
      </c>
      <c r="F37" s="35" t="n">
        <v>42000</v>
      </c>
      <c r="G37" s="35" t="n">
        <v>42000</v>
      </c>
      <c r="H37" s="36" t="n">
        <v>128000</v>
      </c>
      <c r="I37" s="33" t="inlineStr">
        <is>
          <t>LinkedIn Ads</t>
        </is>
      </c>
      <c r="J37" s="37" t="inlineStr">
        <is>
          <t>regulated client</t>
        </is>
      </c>
    </row>
    <row r="38" ht="22" customHeight="1">
      <c r="A38" s="38" t="inlineStr">
        <is>
          <t>CUST-2025-0091</t>
        </is>
      </c>
      <c r="B38" s="39" t="inlineStr">
        <is>
          <t>Ellisborough Bioinstruments</t>
        </is>
      </c>
      <c r="C38" s="40" t="inlineStr">
        <is>
          <t>Thornfield native</t>
        </is>
      </c>
      <c r="D38" s="59" t="inlineStr">
        <is>
          <t>N</t>
        </is>
      </c>
      <c r="E38" s="42" t="n">
        <v>37000</v>
      </c>
      <c r="F38" s="42" t="n">
        <v>36500</v>
      </c>
      <c r="G38" s="42" t="n">
        <v>37500</v>
      </c>
      <c r="H38" s="43" t="n">
        <v>111000</v>
      </c>
      <c r="I38" s="40" t="inlineStr">
        <is>
          <t>LinkedIn Ads</t>
        </is>
      </c>
      <c r="J38" s="44" t="inlineStr"/>
    </row>
    <row r="39" ht="22" customHeight="1">
      <c r="A39" s="31" t="inlineStr">
        <is>
          <t>CUST-2025-0094</t>
        </is>
      </c>
      <c r="B39" s="32" t="inlineStr">
        <is>
          <t>Harewood Genomic Sciences</t>
        </is>
      </c>
      <c r="C39" s="33" t="inlineStr">
        <is>
          <t>Thornfield native</t>
        </is>
      </c>
      <c r="D39" s="58" t="inlineStr">
        <is>
          <t>N</t>
        </is>
      </c>
      <c r="E39" s="35" t="n">
        <v>52000</v>
      </c>
      <c r="F39" s="35" t="n">
        <v>51000</v>
      </c>
      <c r="G39" s="35" t="n">
        <v>53000</v>
      </c>
      <c r="H39" s="36" t="n">
        <v>156000</v>
      </c>
      <c r="I39" s="33" t="inlineStr">
        <is>
          <t>Programmatic Display</t>
        </is>
      </c>
      <c r="J39" s="37" t="inlineStr"/>
    </row>
    <row r="40" ht="22" customHeight="1">
      <c r="A40" s="38" t="inlineStr">
        <is>
          <t>CUST-2025-0097</t>
        </is>
      </c>
      <c r="B40" s="39" t="inlineStr">
        <is>
          <t>Newforge Diagnostics</t>
        </is>
      </c>
      <c r="C40" s="40" t="inlineStr">
        <is>
          <t>Thornfield native</t>
        </is>
      </c>
      <c r="D40" s="45" t="inlineStr">
        <is>
          <t>Y</t>
        </is>
      </c>
      <c r="E40" s="42" t="n">
        <v>9800</v>
      </c>
      <c r="F40" s="42" t="n">
        <v>10100</v>
      </c>
      <c r="G40" s="42" t="n">
        <v>9600</v>
      </c>
      <c r="H40" s="43" t="n">
        <v>29500</v>
      </c>
      <c r="I40" s="40" t="inlineStr">
        <is>
          <t>Google Ads</t>
        </is>
      </c>
      <c r="J40" s="44" t="inlineStr">
        <is>
          <t>regulated client</t>
        </is>
      </c>
    </row>
    <row r="41" ht="22" customHeight="1">
      <c r="A41" s="31" t="inlineStr">
        <is>
          <t>CUST-2025-0100</t>
        </is>
      </c>
      <c r="B41" s="32" t="inlineStr">
        <is>
          <t>Thoresby Cell Systems</t>
        </is>
      </c>
      <c r="C41" s="33" t="inlineStr">
        <is>
          <t>Thornfield native</t>
        </is>
      </c>
      <c r="D41" s="58" t="inlineStr">
        <is>
          <t>N</t>
        </is>
      </c>
      <c r="E41" s="35" t="n">
        <v>16500</v>
      </c>
      <c r="F41" s="35" t="n">
        <v>17000</v>
      </c>
      <c r="G41" s="35" t="n">
        <v>16500</v>
      </c>
      <c r="H41" s="36" t="n">
        <v>50000</v>
      </c>
      <c r="I41" s="33" t="inlineStr">
        <is>
          <t>LinkedIn Ads</t>
        </is>
      </c>
      <c r="J41" s="37" t="inlineStr"/>
    </row>
    <row r="42" ht="22" customHeight="1">
      <c r="A42" s="38" t="inlineStr">
        <is>
          <t>CUST-2025-0103</t>
        </is>
      </c>
      <c r="B42" s="39" t="inlineStr">
        <is>
          <t>Wolverton Bioimaging</t>
        </is>
      </c>
      <c r="C42" s="40" t="inlineStr">
        <is>
          <t>Thornfield native</t>
        </is>
      </c>
      <c r="D42" s="59" t="inlineStr">
        <is>
          <t>N</t>
        </is>
      </c>
      <c r="E42" s="42" t="n">
        <v>6500</v>
      </c>
      <c r="F42" s="42" t="n">
        <v>6700</v>
      </c>
      <c r="G42" s="42" t="n">
        <v>6300</v>
      </c>
      <c r="H42" s="43" t="n">
        <v>19500</v>
      </c>
      <c r="I42" s="40" t="inlineStr">
        <is>
          <t>Trade Publications</t>
        </is>
      </c>
      <c r="J42" s="44" t="inlineStr"/>
    </row>
    <row r="43" ht="22" customHeight="1">
      <c r="A43" s="31" t="inlineStr">
        <is>
          <t>CUST-2025-0106</t>
        </is>
      </c>
      <c r="B43" s="32" t="inlineStr">
        <is>
          <t>Ashland Reagent Group</t>
        </is>
      </c>
      <c r="C43" s="33" t="inlineStr">
        <is>
          <t>Thornfield native</t>
        </is>
      </c>
      <c r="D43" s="58" t="inlineStr">
        <is>
          <t>N</t>
        </is>
      </c>
      <c r="E43" s="35" t="n">
        <v>21000</v>
      </c>
      <c r="F43" s="35" t="n">
        <v>22000</v>
      </c>
      <c r="G43" s="35" t="n">
        <v>22500</v>
      </c>
      <c r="H43" s="36" t="n">
        <v>65500</v>
      </c>
      <c r="I43" s="33" t="inlineStr">
        <is>
          <t>LinkedIn Ads</t>
        </is>
      </c>
      <c r="J43" s="37" t="inlineStr"/>
    </row>
    <row r="44" ht="22" customHeight="1">
      <c r="A44" s="38" t="inlineStr">
        <is>
          <t>CUST-2025-0109</t>
        </is>
      </c>
      <c r="B44" s="39" t="inlineStr">
        <is>
          <t>Danbury Molecular</t>
        </is>
      </c>
      <c r="C44" s="40" t="inlineStr">
        <is>
          <t>Thornfield native</t>
        </is>
      </c>
      <c r="D44" s="59" t="inlineStr">
        <is>
          <t>N</t>
        </is>
      </c>
      <c r="E44" s="42" t="n">
        <v>45500</v>
      </c>
      <c r="F44" s="42" t="n">
        <v>46500</v>
      </c>
      <c r="G44" s="42" t="n">
        <v>46000</v>
      </c>
      <c r="H44" s="43" t="n">
        <v>138000</v>
      </c>
      <c r="I44" s="40" t="inlineStr">
        <is>
          <t>Google Ads</t>
        </is>
      </c>
      <c r="J44" s="44" t="inlineStr"/>
    </row>
    <row r="45" ht="22" customHeight="1">
      <c r="A45" s="31" t="inlineStr">
        <is>
          <t>CUST-2025-0112</t>
        </is>
      </c>
      <c r="B45" s="32" t="inlineStr">
        <is>
          <t>Fircrest Assay</t>
        </is>
      </c>
      <c r="C45" s="33" t="inlineStr">
        <is>
          <t>Thornfield native</t>
        </is>
      </c>
      <c r="D45" s="58" t="inlineStr">
        <is>
          <t>N</t>
        </is>
      </c>
      <c r="E45" s="35" t="n">
        <v>8200</v>
      </c>
      <c r="F45" s="35" t="n">
        <v>8600</v>
      </c>
      <c r="G45" s="35" t="n">
        <v>8200</v>
      </c>
      <c r="H45" s="36" t="n">
        <v>25000</v>
      </c>
      <c r="I45" s="33" t="inlineStr">
        <is>
          <t>Programmatic Display</t>
        </is>
      </c>
      <c r="J45" s="37" t="inlineStr"/>
    </row>
    <row r="46" ht="22" customHeight="1">
      <c r="A46" s="38" t="inlineStr">
        <is>
          <t>CUST-2025-0115</t>
        </is>
      </c>
      <c r="B46" s="39" t="inlineStr">
        <is>
          <t>Milford Bioanalytics</t>
        </is>
      </c>
      <c r="C46" s="40" t="inlineStr">
        <is>
          <t>Thornfield native</t>
        </is>
      </c>
      <c r="D46" s="59" t="inlineStr">
        <is>
          <t>N</t>
        </is>
      </c>
      <c r="E46" s="42" t="n">
        <v>92000</v>
      </c>
      <c r="F46" s="42" t="n">
        <v>93000</v>
      </c>
      <c r="G46" s="42" t="n">
        <v>91000</v>
      </c>
      <c r="H46" s="43" t="n">
        <v>276000</v>
      </c>
      <c r="I46" s="40" t="inlineStr">
        <is>
          <t>LinkedIn Ads</t>
        </is>
      </c>
      <c r="J46" s="44" t="inlineStr"/>
    </row>
    <row r="47" ht="22" customHeight="1">
      <c r="A47" s="31" t="inlineStr">
        <is>
          <t>CUST-2025-0118</t>
        </is>
      </c>
      <c r="B47" s="32" t="inlineStr">
        <is>
          <t>Radstock Diagnostics</t>
        </is>
      </c>
      <c r="C47" s="33" t="inlineStr">
        <is>
          <t>Thornfield native</t>
        </is>
      </c>
      <c r="D47" s="46" t="inlineStr">
        <is>
          <t>Y</t>
        </is>
      </c>
      <c r="E47" s="35" t="n">
        <v>27500</v>
      </c>
      <c r="F47" s="35" t="n">
        <v>28000</v>
      </c>
      <c r="G47" s="35" t="n">
        <v>28500</v>
      </c>
      <c r="H47" s="36" t="n">
        <v>84000</v>
      </c>
      <c r="I47" s="33" t="inlineStr">
        <is>
          <t>LinkedIn Ads</t>
        </is>
      </c>
      <c r="J47" s="37" t="inlineStr">
        <is>
          <t>regulated client</t>
        </is>
      </c>
    </row>
    <row r="48" ht="22" customHeight="1">
      <c r="A48" s="38" t="inlineStr">
        <is>
          <t>CUST-2025-0121</t>
        </is>
      </c>
      <c r="B48" s="39" t="inlineStr">
        <is>
          <t>Southridge Bioinstruments</t>
        </is>
      </c>
      <c r="C48" s="40" t="inlineStr">
        <is>
          <t>Thornfield native</t>
        </is>
      </c>
      <c r="D48" s="59" t="inlineStr">
        <is>
          <t>N</t>
        </is>
      </c>
      <c r="E48" s="42" t="n">
        <v>13000</v>
      </c>
      <c r="F48" s="42" t="n">
        <v>13500</v>
      </c>
      <c r="G48" s="42" t="n">
        <v>13500</v>
      </c>
      <c r="H48" s="43" t="n">
        <v>40000</v>
      </c>
      <c r="I48" s="40" t="inlineStr">
        <is>
          <t>Google Ads</t>
        </is>
      </c>
      <c r="J48" s="44" t="inlineStr"/>
    </row>
    <row r="49" ht="22" customHeight="1">
      <c r="A49" s="31" t="inlineStr">
        <is>
          <t>CUST-2025-0124</t>
        </is>
      </c>
      <c r="B49" s="32" t="inlineStr">
        <is>
          <t>Verwood Genomics</t>
        </is>
      </c>
      <c r="C49" s="33" t="inlineStr">
        <is>
          <t>Thornfield native</t>
        </is>
      </c>
      <c r="D49" s="58" t="inlineStr">
        <is>
          <t>N</t>
        </is>
      </c>
      <c r="E49" s="35" t="n">
        <v>67000</v>
      </c>
      <c r="F49" s="35" t="n">
        <v>68000</v>
      </c>
      <c r="G49" s="35" t="n">
        <v>67000</v>
      </c>
      <c r="H49" s="36" t="n">
        <v>202000</v>
      </c>
      <c r="I49" s="33" t="inlineStr">
        <is>
          <t>LinkedIn Ads</t>
        </is>
      </c>
      <c r="J49" s="37" t="inlineStr"/>
    </row>
    <row r="50" ht="22" customHeight="1">
      <c r="A50" s="38" t="inlineStr">
        <is>
          <t>CUST-2025-0127</t>
        </is>
      </c>
      <c r="B50" s="39" t="inlineStr">
        <is>
          <t>Yarmouth Scientific</t>
        </is>
      </c>
      <c r="C50" s="40" t="inlineStr">
        <is>
          <t>Thornfield native</t>
        </is>
      </c>
      <c r="D50" s="59" t="inlineStr">
        <is>
          <t>N</t>
        </is>
      </c>
      <c r="E50" s="42" t="n">
        <v>10500</v>
      </c>
      <c r="F50" s="42" t="n">
        <v>10000</v>
      </c>
      <c r="G50" s="42" t="n">
        <v>10500</v>
      </c>
      <c r="H50" s="43" t="n">
        <v>31000</v>
      </c>
      <c r="I50" s="40" t="inlineStr">
        <is>
          <t>Programmatic Display</t>
        </is>
      </c>
      <c r="J50" s="44" t="inlineStr"/>
    </row>
    <row r="51" ht="22" customHeight="1">
      <c r="A51" s="31" t="inlineStr">
        <is>
          <t>CUST-2025-0130</t>
        </is>
      </c>
      <c r="B51" s="32" t="inlineStr">
        <is>
          <t>Belmont Assay Systems</t>
        </is>
      </c>
      <c r="C51" s="33" t="inlineStr">
        <is>
          <t>Inherited — Bramwell</t>
        </is>
      </c>
      <c r="D51" s="58" t="inlineStr">
        <is>
          <t>N</t>
        </is>
      </c>
      <c r="E51" s="35" t="n">
        <v>23400</v>
      </c>
      <c r="F51" s="35" t="n">
        <v>23800</v>
      </c>
      <c r="G51" s="35" t="n">
        <v>23300</v>
      </c>
      <c r="H51" s="36" t="n">
        <v>70500</v>
      </c>
      <c r="I51" s="33" t="inlineStr">
        <is>
          <t>LinkedIn Ads</t>
        </is>
      </c>
      <c r="J51" s="37" t="inlineStr">
        <is>
          <t>inherited account</t>
        </is>
      </c>
    </row>
    <row r="52" ht="22" customHeight="1">
      <c r="A52" s="38" t="inlineStr">
        <is>
          <t>CUST-2025-0133</t>
        </is>
      </c>
      <c r="B52" s="39" t="inlineStr">
        <is>
          <t>Chatfield Diagnostics</t>
        </is>
      </c>
      <c r="C52" s="40" t="inlineStr">
        <is>
          <t>Inherited — Bramwell</t>
        </is>
      </c>
      <c r="D52" s="45" t="inlineStr">
        <is>
          <t>Y</t>
        </is>
      </c>
      <c r="E52" s="42" t="n">
        <v>58000</v>
      </c>
      <c r="F52" s="42" t="n">
        <v>59000</v>
      </c>
      <c r="G52" s="42" t="n">
        <v>58000</v>
      </c>
      <c r="H52" s="43" t="n">
        <v>175000</v>
      </c>
      <c r="I52" s="40" t="inlineStr">
        <is>
          <t>Google Ads</t>
        </is>
      </c>
      <c r="J52" s="44" t="inlineStr">
        <is>
          <t>inherited account; regulated client</t>
        </is>
      </c>
    </row>
    <row r="53" ht="22" customHeight="1">
      <c r="A53" s="31" t="inlineStr">
        <is>
          <t>CUST-2025-0136</t>
        </is>
      </c>
      <c r="B53" s="32" t="inlineStr">
        <is>
          <t>Deepwater Bioanalytics</t>
        </is>
      </c>
      <c r="C53" s="33" t="inlineStr">
        <is>
          <t>Inherited — Bramwell</t>
        </is>
      </c>
      <c r="D53" s="58" t="inlineStr">
        <is>
          <t>N</t>
        </is>
      </c>
      <c r="E53" s="35" t="n">
        <v>34500</v>
      </c>
      <c r="F53" s="35" t="n">
        <v>35000</v>
      </c>
      <c r="G53" s="35" t="n">
        <v>35500</v>
      </c>
      <c r="H53" s="36" t="n">
        <v>105000</v>
      </c>
      <c r="I53" s="33" t="inlineStr">
        <is>
          <t>Programmatic Display</t>
        </is>
      </c>
      <c r="J53" s="37" t="inlineStr">
        <is>
          <t>inherited account</t>
        </is>
      </c>
    </row>
    <row r="54" ht="22" customHeight="1">
      <c r="A54" s="38" t="inlineStr">
        <is>
          <t>CUST-2025-0139</t>
        </is>
      </c>
      <c r="B54" s="39" t="inlineStr">
        <is>
          <t>Elmswood Reagent Labs</t>
        </is>
      </c>
      <c r="C54" s="40" t="inlineStr">
        <is>
          <t>Inherited — Bramwell</t>
        </is>
      </c>
      <c r="D54" s="59" t="inlineStr">
        <is>
          <t>N</t>
        </is>
      </c>
      <c r="E54" s="42" t="n">
        <v>9200</v>
      </c>
      <c r="F54" s="42" t="n">
        <v>8800</v>
      </c>
      <c r="G54" s="42" t="n">
        <v>9000</v>
      </c>
      <c r="H54" s="43" t="n">
        <v>27000</v>
      </c>
      <c r="I54" s="40" t="inlineStr">
        <is>
          <t>Trade Publications</t>
        </is>
      </c>
      <c r="J54" s="44" t="inlineStr">
        <is>
          <t>inherited account</t>
        </is>
      </c>
    </row>
    <row r="55" ht="22" customHeight="1">
      <c r="A55" s="31" t="inlineStr">
        <is>
          <t>CUST-2025-0142</t>
        </is>
      </c>
      <c r="B55" s="32" t="inlineStr">
        <is>
          <t>Ashford Scientific Instruments</t>
        </is>
      </c>
      <c r="C55" s="33" t="inlineStr">
        <is>
          <t>Inherited — Bramwell</t>
        </is>
      </c>
      <c r="D55" s="58" t="inlineStr">
        <is>
          <t>N</t>
        </is>
      </c>
      <c r="E55" s="35" t="n">
        <v>78000</v>
      </c>
      <c r="F55" s="35" t="n">
        <v>81000</v>
      </c>
      <c r="G55" s="35" t="n">
        <v>81000</v>
      </c>
      <c r="H55" s="36" t="n">
        <v>240000</v>
      </c>
      <c r="I55" s="33" t="inlineStr">
        <is>
          <t>Programmatic Display</t>
        </is>
      </c>
      <c r="J55" s="37" t="inlineStr">
        <is>
          <t>inherited account</t>
        </is>
      </c>
    </row>
    <row r="56" ht="22" customHeight="1">
      <c r="A56" s="38" t="inlineStr">
        <is>
          <t>CUST-2025-0145</t>
        </is>
      </c>
      <c r="B56" s="39" t="inlineStr">
        <is>
          <t>Grantham Molecular Sciences</t>
        </is>
      </c>
      <c r="C56" s="40" t="inlineStr">
        <is>
          <t>Inherited — Bramwell</t>
        </is>
      </c>
      <c r="D56" s="59" t="inlineStr">
        <is>
          <t>N</t>
        </is>
      </c>
      <c r="E56" s="42" t="n">
        <v>16800</v>
      </c>
      <c r="F56" s="42" t="n">
        <v>17200</v>
      </c>
      <c r="G56" s="42" t="n">
        <v>16000</v>
      </c>
      <c r="H56" s="43" t="n">
        <v>50000</v>
      </c>
      <c r="I56" s="40" t="inlineStr">
        <is>
          <t>LinkedIn Ads</t>
        </is>
      </c>
      <c r="J56" s="44" t="inlineStr">
        <is>
          <t>inherited account</t>
        </is>
      </c>
    </row>
    <row r="57" ht="22" customHeight="1">
      <c r="A57" s="31" t="inlineStr">
        <is>
          <t>CUST-2025-0148</t>
        </is>
      </c>
      <c r="B57" s="32" t="inlineStr">
        <is>
          <t>Hemsworth Bioinstruments</t>
        </is>
      </c>
      <c r="C57" s="33" t="inlineStr">
        <is>
          <t>Inherited — Bramwell</t>
        </is>
      </c>
      <c r="D57" s="58" t="inlineStr">
        <is>
          <t>N</t>
        </is>
      </c>
      <c r="E57" s="35" t="n">
        <v>41000</v>
      </c>
      <c r="F57" s="35" t="n">
        <v>42000</v>
      </c>
      <c r="G57" s="35" t="n">
        <v>42000</v>
      </c>
      <c r="H57" s="36" t="n">
        <v>125000</v>
      </c>
      <c r="I57" s="33" t="inlineStr">
        <is>
          <t>Google Ads</t>
        </is>
      </c>
      <c r="J57" s="37" t="inlineStr">
        <is>
          <t>inherited account</t>
        </is>
      </c>
    </row>
    <row r="58" ht="22" customHeight="1">
      <c r="A58" s="38" t="inlineStr">
        <is>
          <t>CUST-2025-0151</t>
        </is>
      </c>
      <c r="B58" s="39" t="inlineStr">
        <is>
          <t>Ingleton Diagnostics</t>
        </is>
      </c>
      <c r="C58" s="40" t="inlineStr">
        <is>
          <t>Inherited — Bramwell</t>
        </is>
      </c>
      <c r="D58" s="45" t="inlineStr">
        <is>
          <t>Y</t>
        </is>
      </c>
      <c r="E58" s="42" t="n">
        <v>71000</v>
      </c>
      <c r="F58" s="42" t="n">
        <v>72000</v>
      </c>
      <c r="G58" s="42" t="n">
        <v>70000</v>
      </c>
      <c r="H58" s="43" t="n">
        <v>213000</v>
      </c>
      <c r="I58" s="40" t="inlineStr">
        <is>
          <t>LinkedIn Ads</t>
        </is>
      </c>
      <c r="J58" s="44" t="inlineStr">
        <is>
          <t>inherited account; regulated client</t>
        </is>
      </c>
    </row>
    <row r="59" ht="22" customHeight="1">
      <c r="A59" s="31" t="inlineStr">
        <is>
          <t>CUST-2025-0154</t>
        </is>
      </c>
      <c r="B59" s="32" t="inlineStr">
        <is>
          <t>Jarrow Cell Culture Systems</t>
        </is>
      </c>
      <c r="C59" s="33" t="inlineStr">
        <is>
          <t>Inherited — Bramwell</t>
        </is>
      </c>
      <c r="D59" s="58" t="inlineStr">
        <is>
          <t>N</t>
        </is>
      </c>
      <c r="E59" s="35" t="n">
        <v>6700</v>
      </c>
      <c r="F59" s="35" t="n">
        <v>6500</v>
      </c>
      <c r="G59" s="35" t="n">
        <v>6800</v>
      </c>
      <c r="H59" s="36" t="n">
        <v>20000</v>
      </c>
      <c r="I59" s="33" t="inlineStr">
        <is>
          <t>Trade Publications</t>
        </is>
      </c>
      <c r="J59" s="37" t="inlineStr">
        <is>
          <t>inherited account</t>
        </is>
      </c>
    </row>
    <row r="60" ht="22" customHeight="1">
      <c r="A60" s="38" t="inlineStr">
        <is>
          <t>CUST-2025-0157</t>
        </is>
      </c>
      <c r="B60" s="39" t="inlineStr">
        <is>
          <t>Northlake Bioinstruments</t>
        </is>
      </c>
      <c r="C60" s="40" t="inlineStr">
        <is>
          <t>Inherited — Bramwell</t>
        </is>
      </c>
      <c r="D60" s="59" t="inlineStr">
        <is>
          <t>N</t>
        </is>
      </c>
      <c r="E60" s="42" t="n">
        <v>76000</v>
      </c>
      <c r="F60" s="42" t="n">
        <v>74000</v>
      </c>
      <c r="G60" s="42" t="n">
        <v>85000</v>
      </c>
      <c r="H60" s="43" t="n">
        <v>235000</v>
      </c>
      <c r="I60" s="40" t="inlineStr">
        <is>
          <t>LinkedIn Ads</t>
        </is>
      </c>
      <c r="J60" s="44" t="inlineStr">
        <is>
          <t>inherited account; renewal 12/05/2025</t>
        </is>
      </c>
    </row>
    <row r="61" ht="22" customHeight="1">
      <c r="A61" s="31" t="inlineStr">
        <is>
          <t>CUST-2025-0160</t>
        </is>
      </c>
      <c r="B61" s="32" t="inlineStr">
        <is>
          <t>Kilbourne Genomics</t>
        </is>
      </c>
      <c r="C61" s="33" t="inlineStr">
        <is>
          <t>Inherited — Bramwell</t>
        </is>
      </c>
      <c r="D61" s="58" t="inlineStr">
        <is>
          <t>N</t>
        </is>
      </c>
      <c r="E61" s="35" t="n">
        <v>28500</v>
      </c>
      <c r="F61" s="35" t="n">
        <v>29000</v>
      </c>
      <c r="G61" s="35" t="n">
        <v>28500</v>
      </c>
      <c r="H61" s="36" t="n">
        <v>86000</v>
      </c>
      <c r="I61" s="33" t="inlineStr">
        <is>
          <t>Programmatic Display</t>
        </is>
      </c>
      <c r="J61" s="37" t="inlineStr">
        <is>
          <t>inherited account</t>
        </is>
      </c>
    </row>
    <row r="62" ht="22" customHeight="1">
      <c r="A62" s="38" t="inlineStr">
        <is>
          <t>CUST-2025-0163</t>
        </is>
      </c>
      <c r="B62" s="39" t="inlineStr">
        <is>
          <t>Larchfield Bioanalytics</t>
        </is>
      </c>
      <c r="C62" s="40" t="inlineStr">
        <is>
          <t>Inherited — Bramwell</t>
        </is>
      </c>
      <c r="D62" s="45" t="inlineStr">
        <is>
          <t>Y</t>
        </is>
      </c>
      <c r="E62" s="42" t="n">
        <v>12400</v>
      </c>
      <c r="F62" s="42" t="n">
        <v>11800</v>
      </c>
      <c r="G62" s="42" t="n">
        <v>12300</v>
      </c>
      <c r="H62" s="43" t="n">
        <v>36500</v>
      </c>
      <c r="I62" s="40" t="inlineStr">
        <is>
          <t>LinkedIn Ads</t>
        </is>
      </c>
      <c r="J62" s="44" t="inlineStr">
        <is>
          <t>inherited account</t>
        </is>
      </c>
    </row>
    <row r="63" ht="22" customHeight="1">
      <c r="A63" s="31" t="inlineStr">
        <is>
          <t>CUST-2025-0166</t>
        </is>
      </c>
      <c r="B63" s="32" t="inlineStr">
        <is>
          <t>Marchmont Diagnostics</t>
        </is>
      </c>
      <c r="C63" s="33" t="inlineStr">
        <is>
          <t>Inherited — Bramwell</t>
        </is>
      </c>
      <c r="D63" s="46" t="inlineStr">
        <is>
          <t>Y</t>
        </is>
      </c>
      <c r="E63" s="35" t="n">
        <v>47500</v>
      </c>
      <c r="F63" s="35" t="n">
        <v>48500</v>
      </c>
      <c r="G63" s="35" t="n">
        <v>49000</v>
      </c>
      <c r="H63" s="36" t="n">
        <v>145000</v>
      </c>
      <c r="I63" s="33" t="inlineStr">
        <is>
          <t>Google Ads</t>
        </is>
      </c>
      <c r="J63" s="37" t="inlineStr">
        <is>
          <t>inherited account; regulated client</t>
        </is>
      </c>
    </row>
    <row r="64" ht="22" customHeight="1">
      <c r="A64" s="38" t="inlineStr">
        <is>
          <t>CUST-2025-0169</t>
        </is>
      </c>
      <c r="B64" s="39" t="inlineStr">
        <is>
          <t>Norbury Bioimaging</t>
        </is>
      </c>
      <c r="C64" s="40" t="inlineStr">
        <is>
          <t>Inherited — Bramwell</t>
        </is>
      </c>
      <c r="D64" s="45" t="inlineStr">
        <is>
          <t>Y</t>
        </is>
      </c>
      <c r="E64" s="42" t="n">
        <v>32000</v>
      </c>
      <c r="F64" s="42" t="n">
        <v>33000</v>
      </c>
      <c r="G64" s="42" t="n">
        <v>32000</v>
      </c>
      <c r="H64" s="43" t="n">
        <v>97000</v>
      </c>
      <c r="I64" s="40" t="inlineStr">
        <is>
          <t>Programmatic Display</t>
        </is>
      </c>
      <c r="J64" s="44" t="inlineStr">
        <is>
          <t>inherited account</t>
        </is>
      </c>
    </row>
    <row r="65" ht="22" customHeight="1">
      <c r="A65" s="31" t="inlineStr">
        <is>
          <t>CUST-2025-0172</t>
        </is>
      </c>
      <c r="B65" s="32" t="inlineStr">
        <is>
          <t>Oakhurst Reagent Group</t>
        </is>
      </c>
      <c r="C65" s="33" t="inlineStr">
        <is>
          <t>Inherited — Bramwell</t>
        </is>
      </c>
      <c r="D65" s="58" t="inlineStr">
        <is>
          <t>N</t>
        </is>
      </c>
      <c r="E65" s="35" t="n">
        <v>8500</v>
      </c>
      <c r="F65" s="35" t="n">
        <v>8700</v>
      </c>
      <c r="G65" s="35" t="n">
        <v>8300</v>
      </c>
      <c r="H65" s="36" t="n">
        <v>25500</v>
      </c>
      <c r="I65" s="33" t="inlineStr">
        <is>
          <t>Trade Publications</t>
        </is>
      </c>
      <c r="J65" s="37" t="inlineStr">
        <is>
          <t>inherited account</t>
        </is>
      </c>
    </row>
    <row r="66" ht="22" customHeight="1">
      <c r="A66" s="38" t="inlineStr">
        <is>
          <t>CUST-2025-0175</t>
        </is>
      </c>
      <c r="B66" s="39" t="inlineStr">
        <is>
          <t>Portishead Molecular</t>
        </is>
      </c>
      <c r="C66" s="40" t="inlineStr">
        <is>
          <t>Inherited — Bramwell</t>
        </is>
      </c>
      <c r="D66" s="45" t="inlineStr">
        <is>
          <t>Y</t>
        </is>
      </c>
      <c r="E66" s="42" t="n">
        <v>54000</v>
      </c>
      <c r="F66" s="42" t="n">
        <v>55000</v>
      </c>
      <c r="G66" s="42" t="n">
        <v>56000</v>
      </c>
      <c r="H66" s="43" t="n">
        <v>165000</v>
      </c>
      <c r="I66" s="40" t="inlineStr">
        <is>
          <t>LinkedIn Ads</t>
        </is>
      </c>
      <c r="J66" s="44" t="inlineStr">
        <is>
          <t>inherited account</t>
        </is>
      </c>
    </row>
    <row r="67" ht="22" customHeight="1">
      <c r="A67" s="31" t="inlineStr">
        <is>
          <t>CUST-2025-0178</t>
        </is>
      </c>
      <c r="B67" s="32" t="inlineStr">
        <is>
          <t>Quenby Scientific Instruments</t>
        </is>
      </c>
      <c r="C67" s="33" t="inlineStr">
        <is>
          <t>Inherited — Bramwell</t>
        </is>
      </c>
      <c r="D67" s="58" t="inlineStr">
        <is>
          <t>N</t>
        </is>
      </c>
      <c r="E67" s="35" t="n">
        <v>19500</v>
      </c>
      <c r="F67" s="35" t="n">
        <v>20000</v>
      </c>
      <c r="G67" s="35" t="n">
        <v>19500</v>
      </c>
      <c r="H67" s="36" t="n">
        <v>59000</v>
      </c>
      <c r="I67" s="33" t="inlineStr">
        <is>
          <t>Google Ads</t>
        </is>
      </c>
      <c r="J67" s="37" t="inlineStr">
        <is>
          <t>inherited account</t>
        </is>
      </c>
    </row>
    <row r="68" ht="22" customHeight="1">
      <c r="A68" s="38" t="inlineStr">
        <is>
          <t>CUST-2025-0181</t>
        </is>
      </c>
      <c r="B68" s="39" t="inlineStr">
        <is>
          <t>Ramsden Bioanalytics</t>
        </is>
      </c>
      <c r="C68" s="40" t="inlineStr">
        <is>
          <t>Inherited — Bramwell</t>
        </is>
      </c>
      <c r="D68" s="45" t="inlineStr">
        <is>
          <t>Y</t>
        </is>
      </c>
      <c r="E68" s="42" t="n">
        <v>82000</v>
      </c>
      <c r="F68" s="42" t="n">
        <v>83000</v>
      </c>
      <c r="G68" s="42" t="n">
        <v>82000</v>
      </c>
      <c r="H68" s="43" t="n">
        <v>247000</v>
      </c>
      <c r="I68" s="40" t="inlineStr">
        <is>
          <t>LinkedIn Ads</t>
        </is>
      </c>
      <c r="J68" s="44" t="inlineStr">
        <is>
          <t>inherited account</t>
        </is>
      </c>
    </row>
    <row r="69" ht="22" customHeight="1">
      <c r="A69" s="31" t="inlineStr">
        <is>
          <t>CUST-2025-0184</t>
        </is>
      </c>
      <c r="B69" s="32" t="inlineStr">
        <is>
          <t>Selwood Cell Systems</t>
        </is>
      </c>
      <c r="C69" s="33" t="inlineStr">
        <is>
          <t>Thornfield native</t>
        </is>
      </c>
      <c r="D69" s="58" t="inlineStr">
        <is>
          <t>N</t>
        </is>
      </c>
      <c r="E69" s="35" t="n">
        <v>14000</v>
      </c>
      <c r="F69" s="35" t="n">
        <v>14500</v>
      </c>
      <c r="G69" s="35" t="n">
        <v>14500</v>
      </c>
      <c r="H69" s="36" t="n">
        <v>43000</v>
      </c>
      <c r="I69" s="33" t="inlineStr">
        <is>
          <t>Programmatic Display</t>
        </is>
      </c>
      <c r="J69" s="37" t="inlineStr">
        <is>
          <t>Thornfield-native account</t>
        </is>
      </c>
    </row>
    <row r="70" ht="22" customHeight="1">
      <c r="A70" s="38" t="inlineStr">
        <is>
          <t>CUST-2025-0187</t>
        </is>
      </c>
      <c r="B70" s="39" t="inlineStr">
        <is>
          <t>Trentham Diagnostics</t>
        </is>
      </c>
      <c r="C70" s="40" t="inlineStr">
        <is>
          <t>Inherited — Bramwell</t>
        </is>
      </c>
      <c r="D70" s="45" t="inlineStr">
        <is>
          <t>Y</t>
        </is>
      </c>
      <c r="E70" s="42" t="n">
        <v>22000</v>
      </c>
      <c r="F70" s="42" t="n">
        <v>22500</v>
      </c>
      <c r="G70" s="42" t="n">
        <v>22500</v>
      </c>
      <c r="H70" s="43" t="n">
        <v>67000</v>
      </c>
      <c r="I70" s="40" t="inlineStr">
        <is>
          <t>LinkedIn Ads</t>
        </is>
      </c>
      <c r="J70" s="44" t="inlineStr">
        <is>
          <t>inherited account; regulated client</t>
        </is>
      </c>
    </row>
    <row r="71" ht="22" customHeight="1">
      <c r="A71" s="31" t="inlineStr">
        <is>
          <t>CUST-2025-0190</t>
        </is>
      </c>
      <c r="B71" s="32" t="inlineStr">
        <is>
          <t>Ullswater Genomics</t>
        </is>
      </c>
      <c r="C71" s="33" t="inlineStr">
        <is>
          <t>Inherited — Bramwell</t>
        </is>
      </c>
      <c r="D71" s="58" t="inlineStr">
        <is>
          <t>N</t>
        </is>
      </c>
      <c r="E71" s="35" t="n">
        <v>11800</v>
      </c>
      <c r="F71" s="35" t="n">
        <v>12000</v>
      </c>
      <c r="G71" s="35" t="n">
        <v>12200</v>
      </c>
      <c r="H71" s="36" t="n">
        <v>36000</v>
      </c>
      <c r="I71" s="33" t="inlineStr">
        <is>
          <t>Google Ads</t>
        </is>
      </c>
      <c r="J71" s="37" t="inlineStr">
        <is>
          <t>inherited account</t>
        </is>
      </c>
    </row>
    <row r="72" ht="22" customHeight="1">
      <c r="A72" s="38" t="inlineStr">
        <is>
          <t>CUST-2025-0193</t>
        </is>
      </c>
      <c r="B72" s="39" t="inlineStr">
        <is>
          <t>Vantage Bioinstruments</t>
        </is>
      </c>
      <c r="C72" s="40" t="inlineStr">
        <is>
          <t>Thornfield native</t>
        </is>
      </c>
      <c r="D72" s="45" t="inlineStr">
        <is>
          <t>Y</t>
        </is>
      </c>
      <c r="E72" s="42" t="n">
        <v>38000</v>
      </c>
      <c r="F72" s="42" t="n">
        <v>39000</v>
      </c>
      <c r="G72" s="42" t="n">
        <v>38000</v>
      </c>
      <c r="H72" s="43" t="n">
        <v>115000</v>
      </c>
      <c r="I72" s="40" t="inlineStr">
        <is>
          <t>LinkedIn Ads</t>
        </is>
      </c>
      <c r="J72" s="44" t="inlineStr">
        <is>
          <t>Thornfield-native account</t>
        </is>
      </c>
    </row>
    <row r="73" ht="22" customHeight="1">
      <c r="A73" s="31" t="inlineStr">
        <is>
          <t>CUST-2025-0196</t>
        </is>
      </c>
      <c r="B73" s="32" t="inlineStr">
        <is>
          <t>Whitmore Assay Group</t>
        </is>
      </c>
      <c r="C73" s="33" t="inlineStr">
        <is>
          <t>Inherited — Bramwell</t>
        </is>
      </c>
      <c r="D73" s="58" t="inlineStr">
        <is>
          <t>N</t>
        </is>
      </c>
      <c r="E73" s="35" t="n">
        <v>5400</v>
      </c>
      <c r="F73" s="35" t="n">
        <v>5200</v>
      </c>
      <c r="G73" s="35" t="n">
        <v>5400</v>
      </c>
      <c r="H73" s="36" t="n">
        <v>16000</v>
      </c>
      <c r="I73" s="33" t="inlineStr">
        <is>
          <t>Trade Publications</t>
        </is>
      </c>
      <c r="J73" s="37" t="inlineStr">
        <is>
          <t>inherited account</t>
        </is>
      </c>
    </row>
    <row r="74" ht="22" customHeight="1">
      <c r="A74" s="38" t="inlineStr">
        <is>
          <t>CUST-2025-0198</t>
        </is>
      </c>
      <c r="B74" s="39" t="inlineStr">
        <is>
          <t>Fenwick Genomics</t>
        </is>
      </c>
      <c r="C74" s="40" t="inlineStr">
        <is>
          <t>Inherited — Bramwell</t>
        </is>
      </c>
      <c r="D74" s="59" t="inlineStr">
        <is>
          <t>N</t>
        </is>
      </c>
      <c r="E74" s="42" t="n">
        <v>24000</v>
      </c>
      <c r="F74" s="42" t="n">
        <v>25000</v>
      </c>
      <c r="G74" s="42" t="n">
        <v>23000</v>
      </c>
      <c r="H74" s="43" t="n">
        <v>72000</v>
      </c>
      <c r="I74" s="40" t="inlineStr">
        <is>
          <t>LinkedIn Ads</t>
        </is>
      </c>
      <c r="J74" s="44" t="inlineStr">
        <is>
          <t>inherited account; retainer billed separately</t>
        </is>
      </c>
    </row>
    <row r="75" ht="22" customHeight="1">
      <c r="A75" s="31" t="inlineStr">
        <is>
          <t>CUST-2025-0201</t>
        </is>
      </c>
      <c r="B75" s="32" t="inlineStr">
        <is>
          <t>Wrenfield Scientific</t>
        </is>
      </c>
      <c r="C75" s="33" t="inlineStr">
        <is>
          <t>Thornfield native</t>
        </is>
      </c>
      <c r="D75" s="58" t="inlineStr">
        <is>
          <t>N</t>
        </is>
      </c>
      <c r="E75" s="35" t="n">
        <v>19000</v>
      </c>
      <c r="F75" s="35" t="n">
        <v>19500</v>
      </c>
      <c r="G75" s="35" t="n">
        <v>19000</v>
      </c>
      <c r="H75" s="36" t="n">
        <v>57500</v>
      </c>
      <c r="I75" s="33" t="inlineStr">
        <is>
          <t>LinkedIn Ads</t>
        </is>
      </c>
      <c r="J75" s="37" t="inlineStr"/>
    </row>
    <row r="76" ht="22" customHeight="1">
      <c r="A76" s="38" t="inlineStr">
        <is>
          <t>CUST-2025-0204</t>
        </is>
      </c>
      <c r="B76" s="39" t="inlineStr">
        <is>
          <t>Yardley Molecular Diagnostics</t>
        </is>
      </c>
      <c r="C76" s="40" t="inlineStr">
        <is>
          <t>Thornfield native</t>
        </is>
      </c>
      <c r="D76" s="45" t="inlineStr">
        <is>
          <t>Y</t>
        </is>
      </c>
      <c r="E76" s="42" t="n">
        <v>63000</v>
      </c>
      <c r="F76" s="42" t="n">
        <v>64000</v>
      </c>
      <c r="G76" s="42" t="n">
        <v>63000</v>
      </c>
      <c r="H76" s="43" t="n">
        <v>190000</v>
      </c>
      <c r="I76" s="40" t="inlineStr">
        <is>
          <t>LinkedIn Ads</t>
        </is>
      </c>
      <c r="J76" s="44" t="inlineStr">
        <is>
          <t>Thornfield-native account; regulated client</t>
        </is>
      </c>
    </row>
    <row r="77" ht="22" customHeight="1">
      <c r="A77" s="31" t="inlineStr">
        <is>
          <t>CUST-2025-0207</t>
        </is>
      </c>
      <c r="B77" s="32" t="inlineStr">
        <is>
          <t>Ainsworth Bioanalytics</t>
        </is>
      </c>
      <c r="C77" s="33" t="inlineStr">
        <is>
          <t>Inherited — Bramwell</t>
        </is>
      </c>
      <c r="D77" s="58" t="inlineStr">
        <is>
          <t>N</t>
        </is>
      </c>
      <c r="E77" s="35" t="n">
        <v>10500</v>
      </c>
      <c r="F77" s="35" t="n">
        <v>10700</v>
      </c>
      <c r="G77" s="35" t="n">
        <v>10300</v>
      </c>
      <c r="H77" s="36" t="n">
        <v>31500</v>
      </c>
      <c r="I77" s="33" t="inlineStr">
        <is>
          <t>Google Ads</t>
        </is>
      </c>
      <c r="J77" s="37" t="inlineStr">
        <is>
          <t>inherited account</t>
        </is>
      </c>
    </row>
    <row r="78" ht="22" customHeight="1">
      <c r="A78" s="38" t="inlineStr">
        <is>
          <t>CUST-2025-0210</t>
        </is>
      </c>
      <c r="B78" s="39" t="inlineStr">
        <is>
          <t>Blackthorn Reagent Systems</t>
        </is>
      </c>
      <c r="C78" s="40" t="inlineStr">
        <is>
          <t>Inherited — Bramwell</t>
        </is>
      </c>
      <c r="D78" s="59" t="inlineStr">
        <is>
          <t>N</t>
        </is>
      </c>
      <c r="E78" s="42" t="n">
        <v>27000</v>
      </c>
      <c r="F78" s="42" t="n">
        <v>27500</v>
      </c>
      <c r="G78" s="42" t="n">
        <v>28500</v>
      </c>
      <c r="H78" s="43" t="n">
        <v>83000</v>
      </c>
      <c r="I78" s="40" t="inlineStr">
        <is>
          <t>Programmatic Display</t>
        </is>
      </c>
      <c r="J78" s="44" t="inlineStr">
        <is>
          <t>inherited account</t>
        </is>
      </c>
    </row>
    <row r="79" ht="22" customHeight="1">
      <c r="A79" s="31" t="inlineStr">
        <is>
          <t>CUST-2025-0213</t>
        </is>
      </c>
      <c r="B79" s="32" t="inlineStr">
        <is>
          <t>Coppergate Diagnostics</t>
        </is>
      </c>
      <c r="C79" s="33" t="inlineStr">
        <is>
          <t>Thornfield native</t>
        </is>
      </c>
      <c r="D79" s="46" t="inlineStr">
        <is>
          <t>Y</t>
        </is>
      </c>
      <c r="E79" s="35" t="n">
        <v>95000</v>
      </c>
      <c r="F79" s="35" t="n">
        <v>96000</v>
      </c>
      <c r="G79" s="35" t="n">
        <v>97000</v>
      </c>
      <c r="H79" s="36" t="n">
        <v>288000</v>
      </c>
      <c r="I79" s="33" t="inlineStr">
        <is>
          <t>LinkedIn Ads</t>
        </is>
      </c>
      <c r="J79" s="37" t="inlineStr">
        <is>
          <t>Thornfield-native account; regulated client</t>
        </is>
      </c>
    </row>
    <row r="80" ht="22" customHeight="1">
      <c r="A80" s="38" t="inlineStr">
        <is>
          <t>CUST-2025-0216</t>
        </is>
      </c>
      <c r="B80" s="39" t="inlineStr">
        <is>
          <t>Drayton Cell Culture</t>
        </is>
      </c>
      <c r="C80" s="40" t="inlineStr">
        <is>
          <t>Inherited — Bramwell</t>
        </is>
      </c>
      <c r="D80" s="59" t="inlineStr">
        <is>
          <t>N</t>
        </is>
      </c>
      <c r="E80" s="42" t="n">
        <v>17500</v>
      </c>
      <c r="F80" s="42" t="n">
        <v>18000</v>
      </c>
      <c r="G80" s="42" t="n">
        <v>17500</v>
      </c>
      <c r="H80" s="43" t="n">
        <v>53000</v>
      </c>
      <c r="I80" s="40" t="inlineStr">
        <is>
          <t>Google Ads</t>
        </is>
      </c>
      <c r="J80" s="44" t="inlineStr">
        <is>
          <t>inherited account</t>
        </is>
      </c>
    </row>
    <row r="81" ht="22" customHeight="1">
      <c r="A81" s="31" t="inlineStr">
        <is>
          <t>CUST-2025-0219</t>
        </is>
      </c>
      <c r="B81" s="32" t="inlineStr">
        <is>
          <t>Everleigh Bioinstruments</t>
        </is>
      </c>
      <c r="C81" s="33" t="inlineStr">
        <is>
          <t>Thornfield native</t>
        </is>
      </c>
      <c r="D81" s="58" t="inlineStr">
        <is>
          <t>N</t>
        </is>
      </c>
      <c r="E81" s="35" t="n">
        <v>43000</v>
      </c>
      <c r="F81" s="35" t="n">
        <v>44000</v>
      </c>
      <c r="G81" s="35" t="n">
        <v>44000</v>
      </c>
      <c r="H81" s="36" t="n">
        <v>131000</v>
      </c>
      <c r="I81" s="33" t="inlineStr">
        <is>
          <t>LinkedIn Ads</t>
        </is>
      </c>
      <c r="J81" s="37" t="inlineStr">
        <is>
          <t>Thornfield-native account</t>
        </is>
      </c>
    </row>
    <row r="82" ht="22" customHeight="1">
      <c r="A82" s="38" t="inlineStr">
        <is>
          <t>CUST-2025-0222</t>
        </is>
      </c>
      <c r="B82" s="39" t="inlineStr">
        <is>
          <t>Foxhaven Genomic Analytics</t>
        </is>
      </c>
      <c r="C82" s="40" t="inlineStr">
        <is>
          <t>Inherited — Bramwell</t>
        </is>
      </c>
      <c r="D82" s="59" t="inlineStr">
        <is>
          <t>N</t>
        </is>
      </c>
      <c r="E82" s="42" t="n">
        <v>7600</v>
      </c>
      <c r="F82" s="42" t="n">
        <v>7400</v>
      </c>
      <c r="G82" s="42" t="n">
        <v>7000</v>
      </c>
      <c r="H82" s="43" t="n">
        <v>22000</v>
      </c>
      <c r="I82" s="40" t="inlineStr">
        <is>
          <t>Trade Publications</t>
        </is>
      </c>
      <c r="J82" s="44" t="inlineStr">
        <is>
          <t>inherited account</t>
        </is>
      </c>
    </row>
    <row r="83" ht="22" customHeight="1">
      <c r="A83" s="31" t="inlineStr">
        <is>
          <t>CUST-2025-0225</t>
        </is>
      </c>
      <c r="B83" s="32" t="inlineStr">
        <is>
          <t>Glenmore Diagnostics</t>
        </is>
      </c>
      <c r="C83" s="33" t="inlineStr">
        <is>
          <t>Thornfield native</t>
        </is>
      </c>
      <c r="D83" s="46" t="inlineStr">
        <is>
          <t>Y</t>
        </is>
      </c>
      <c r="E83" s="35" t="n">
        <v>49000</v>
      </c>
      <c r="F83" s="35" t="n">
        <v>50000</v>
      </c>
      <c r="G83" s="35" t="n">
        <v>51000</v>
      </c>
      <c r="H83" s="36" t="n">
        <v>150000</v>
      </c>
      <c r="I83" s="33" t="inlineStr">
        <is>
          <t>LinkedIn Ads</t>
        </is>
      </c>
      <c r="J83" s="37" t="inlineStr">
        <is>
          <t>Thornfield-native account; regulated client</t>
        </is>
      </c>
    </row>
    <row r="84" ht="22" customHeight="1">
      <c r="A84" s="38" t="inlineStr">
        <is>
          <t>CUST-2025-0228</t>
        </is>
      </c>
      <c r="B84" s="39" t="inlineStr">
        <is>
          <t>Havershaw Molecular</t>
        </is>
      </c>
      <c r="C84" s="40" t="inlineStr">
        <is>
          <t>Inherited — Bramwell</t>
        </is>
      </c>
      <c r="D84" s="59" t="inlineStr">
        <is>
          <t>N</t>
        </is>
      </c>
      <c r="E84" s="42" t="n">
        <v>30500</v>
      </c>
      <c r="F84" s="42" t="n">
        <v>31000</v>
      </c>
      <c r="G84" s="42" t="n">
        <v>30500</v>
      </c>
      <c r="H84" s="43" t="n">
        <v>92000</v>
      </c>
      <c r="I84" s="40" t="inlineStr">
        <is>
          <t>Programmatic Display</t>
        </is>
      </c>
      <c r="J84" s="44" t="inlineStr">
        <is>
          <t>inherited account</t>
        </is>
      </c>
    </row>
    <row r="85" ht="22" customHeight="1">
      <c r="A85" s="31" t="inlineStr">
        <is>
          <t>CUST-2025-0231</t>
        </is>
      </c>
      <c r="B85" s="32" t="inlineStr">
        <is>
          <t>Ivybridge Reagent Labs</t>
        </is>
      </c>
      <c r="C85" s="33" t="inlineStr">
        <is>
          <t>Thornfield native</t>
        </is>
      </c>
      <c r="D85" s="58" t="inlineStr">
        <is>
          <t>N</t>
        </is>
      </c>
      <c r="E85" s="35" t="n">
        <v>13300</v>
      </c>
      <c r="F85" s="35" t="n">
        <v>13700</v>
      </c>
      <c r="G85" s="35" t="n">
        <v>14000</v>
      </c>
      <c r="H85" s="36" t="n">
        <v>41000</v>
      </c>
      <c r="I85" s="33" t="inlineStr">
        <is>
          <t>Google Ads</t>
        </is>
      </c>
      <c r="J85" s="37" t="inlineStr">
        <is>
          <t>Thornfield-native account</t>
        </is>
      </c>
    </row>
    <row r="86" ht="22" customHeight="1">
      <c r="A86" s="38" t="inlineStr">
        <is>
          <t>CUST-2025-0234</t>
        </is>
      </c>
      <c r="B86" s="39" t="inlineStr">
        <is>
          <t>Jessop Bioanalytics</t>
        </is>
      </c>
      <c r="C86" s="40" t="inlineStr">
        <is>
          <t>Inherited — Bramwell</t>
        </is>
      </c>
      <c r="D86" s="59" t="inlineStr">
        <is>
          <t>N</t>
        </is>
      </c>
      <c r="E86" s="42" t="n">
        <v>19000</v>
      </c>
      <c r="F86" s="42" t="n">
        <v>19500</v>
      </c>
      <c r="G86" s="42" t="n">
        <v>20000</v>
      </c>
      <c r="H86" s="43" t="n">
        <v>58500</v>
      </c>
      <c r="I86" s="40" t="inlineStr">
        <is>
          <t>LinkedIn Ads</t>
        </is>
      </c>
      <c r="J86" s="44" t="inlineStr">
        <is>
          <t>inherited account</t>
        </is>
      </c>
    </row>
    <row r="87" ht="22" customHeight="1">
      <c r="A87" s="31" t="inlineStr">
        <is>
          <t>CUST-2025-0237</t>
        </is>
      </c>
      <c r="B87" s="32" t="inlineStr">
        <is>
          <t>Kettlewell Diagnostics</t>
        </is>
      </c>
      <c r="C87" s="33" t="inlineStr">
        <is>
          <t>Inherited — Bramwell</t>
        </is>
      </c>
      <c r="D87" s="46" t="inlineStr">
        <is>
          <t>Y</t>
        </is>
      </c>
      <c r="E87" s="35" t="n">
        <v>86000</v>
      </c>
      <c r="F87" s="35" t="n">
        <v>87000</v>
      </c>
      <c r="G87" s="35" t="n">
        <v>88000</v>
      </c>
      <c r="H87" s="36" t="n">
        <v>261000</v>
      </c>
      <c r="I87" s="33" t="inlineStr">
        <is>
          <t>LinkedIn Ads</t>
        </is>
      </c>
      <c r="J87" s="37" t="inlineStr">
        <is>
          <t>inherited account; regulated client</t>
        </is>
      </c>
    </row>
    <row r="88" ht="22" customHeight="1">
      <c r="A88" s="38" t="inlineStr">
        <is>
          <t>CUST-2025-0240</t>
        </is>
      </c>
      <c r="B88" s="39" t="inlineStr">
        <is>
          <t>Ledbury Cell Systems</t>
        </is>
      </c>
      <c r="C88" s="40" t="inlineStr">
        <is>
          <t>Inherited — Bramwell</t>
        </is>
      </c>
      <c r="D88" s="59" t="inlineStr">
        <is>
          <t>N</t>
        </is>
      </c>
      <c r="E88" s="42" t="n">
        <v>22000</v>
      </c>
      <c r="F88" s="42" t="n">
        <v>23000</v>
      </c>
      <c r="G88" s="42" t="n">
        <v>22500</v>
      </c>
      <c r="H88" s="43" t="n">
        <v>67500</v>
      </c>
      <c r="I88" s="40" t="inlineStr">
        <is>
          <t>Programmatic Display</t>
        </is>
      </c>
      <c r="J88" s="44" t="inlineStr">
        <is>
          <t>inherited account</t>
        </is>
      </c>
    </row>
    <row r="89" ht="22" customHeight="1">
      <c r="A89" s="31" t="inlineStr">
        <is>
          <t>CUST-2025-0243</t>
        </is>
      </c>
      <c r="B89" s="32" t="inlineStr">
        <is>
          <t>Marshgate Bioinstruments</t>
        </is>
      </c>
      <c r="C89" s="33" t="inlineStr">
        <is>
          <t>Inherited — Bramwell</t>
        </is>
      </c>
      <c r="D89" s="58" t="inlineStr">
        <is>
          <t>N</t>
        </is>
      </c>
      <c r="E89" s="35" t="n">
        <v>8700</v>
      </c>
      <c r="F89" s="35" t="n">
        <v>8300</v>
      </c>
      <c r="G89" s="35" t="n">
        <v>8500</v>
      </c>
      <c r="H89" s="36" t="n">
        <v>25500</v>
      </c>
      <c r="I89" s="33" t="inlineStr">
        <is>
          <t>Trade Publications</t>
        </is>
      </c>
      <c r="J89" s="37" t="inlineStr">
        <is>
          <t>inherited account</t>
        </is>
      </c>
    </row>
    <row r="90" ht="22" customHeight="1">
      <c r="A90" s="38" t="inlineStr">
        <is>
          <t>CUST-2025-0246</t>
        </is>
      </c>
      <c r="B90" s="39" t="inlineStr">
        <is>
          <t>Norcross Genomic Systems</t>
        </is>
      </c>
      <c r="C90" s="40" t="inlineStr">
        <is>
          <t>Inherited — Bramwell</t>
        </is>
      </c>
      <c r="D90" s="59" t="inlineStr">
        <is>
          <t>N</t>
        </is>
      </c>
      <c r="E90" s="42" t="n">
        <v>37000</v>
      </c>
      <c r="F90" s="42" t="n">
        <v>37500</v>
      </c>
      <c r="G90" s="42" t="n">
        <v>38000</v>
      </c>
      <c r="H90" s="43" t="n">
        <v>112500</v>
      </c>
      <c r="I90" s="40" t="inlineStr">
        <is>
          <t>LinkedIn Ads</t>
        </is>
      </c>
      <c r="J90" s="44" t="inlineStr">
        <is>
          <t>inherited account</t>
        </is>
      </c>
    </row>
    <row r="91" ht="22" customHeight="1">
      <c r="A91" s="31" t="inlineStr">
        <is>
          <t>CUST-2025-0249</t>
        </is>
      </c>
      <c r="B91" s="32" t="inlineStr">
        <is>
          <t>Oakfield Diagnostics</t>
        </is>
      </c>
      <c r="C91" s="33" t="inlineStr">
        <is>
          <t>Inherited — Bramwell</t>
        </is>
      </c>
      <c r="D91" s="46" t="inlineStr">
        <is>
          <t>Y</t>
        </is>
      </c>
      <c r="E91" s="35" t="n">
        <v>25500</v>
      </c>
      <c r="F91" s="35" t="n">
        <v>25000</v>
      </c>
      <c r="G91" s="35" t="n">
        <v>25500</v>
      </c>
      <c r="H91" s="36" t="n">
        <v>76000</v>
      </c>
      <c r="I91" s="33" t="inlineStr">
        <is>
          <t>Google Ads</t>
        </is>
      </c>
      <c r="J91" s="37" t="inlineStr">
        <is>
          <t>inherited account; regulated client</t>
        </is>
      </c>
    </row>
    <row r="92" ht="22" customHeight="1">
      <c r="A92" s="38" t="inlineStr">
        <is>
          <t>CUST-2025-0252</t>
        </is>
      </c>
      <c r="B92" s="39" t="inlineStr">
        <is>
          <t>Sedgewick Bioanalytics</t>
        </is>
      </c>
      <c r="C92" s="40" t="inlineStr">
        <is>
          <t>Inherited — Bramwell</t>
        </is>
      </c>
      <c r="D92" s="59" t="inlineStr">
        <is>
          <t>N</t>
        </is>
      </c>
      <c r="E92" s="42" t="n">
        <v>16500</v>
      </c>
      <c r="F92" s="42" t="n">
        <v>17000</v>
      </c>
      <c r="G92" s="42" t="n">
        <v>16500</v>
      </c>
      <c r="H92" s="43" t="n">
        <v>50000</v>
      </c>
      <c r="I92" s="40" t="inlineStr">
        <is>
          <t>Programmatic Display</t>
        </is>
      </c>
      <c r="J92" s="44" t="inlineStr">
        <is>
          <t>inherited account</t>
        </is>
      </c>
    </row>
    <row r="93" ht="22" customHeight="1">
      <c r="A93" s="31" t="inlineStr">
        <is>
          <t>CUST-2025-0255</t>
        </is>
      </c>
      <c r="B93" s="32" t="inlineStr">
        <is>
          <t>Tanfield Diagnostics</t>
        </is>
      </c>
      <c r="C93" s="33" t="inlineStr">
        <is>
          <t>Inherited — Bramwell</t>
        </is>
      </c>
      <c r="D93" s="46" t="inlineStr">
        <is>
          <t>Y</t>
        </is>
      </c>
      <c r="E93" s="35" t="n">
        <v>97000</v>
      </c>
      <c r="F93" s="35" t="n">
        <v>98000</v>
      </c>
      <c r="G93" s="35" t="n">
        <v>99000</v>
      </c>
      <c r="H93" s="36" t="n">
        <v>294000</v>
      </c>
      <c r="I93" s="33" t="inlineStr">
        <is>
          <t>LinkedIn Ads</t>
        </is>
      </c>
      <c r="J93" s="37" t="inlineStr">
        <is>
          <t>inherited account; regulated client</t>
        </is>
      </c>
    </row>
    <row r="94" ht="28" customHeight="1">
      <c r="A94" s="57" t="inlineStr">
        <is>
          <t>TOTALS (85 clients)</t>
        </is>
      </c>
      <c r="B94" s="54" t="n"/>
      <c r="C94" s="54" t="n"/>
      <c r="D94" s="54" t="n"/>
      <c r="E94" s="48">
        <f>SUM(E9:E93)</f>
        <v>2816000</v>
      </c>
      <c r="F94" s="48">
        <f>SUM(F9:F93)</f>
        <v>2854100</v>
      </c>
      <c r="G94" s="48">
        <f>SUM(G9:G93)</f>
        <v>2857900</v>
      </c>
      <c r="H94" s="48">
        <f>SUM(H9:H93)</f>
        <v>8528000</v>
      </c>
      <c r="I94" s="47" t="n"/>
      <c r="J94" s="47" t="n"/>
    </row>
  </sheetData>
  <autoFilter ref="A8:J93"/>
  <mergeCells count="7">
    <mergeCell ref="A94:D94"/>
    <mergeCell ref="A1:J1"/>
    <mergeCell ref="B3:J3"/>
    <mergeCell ref="B5:J5"/>
    <mergeCell ref="B4:J4"/>
    <mergeCell ref="B6:J6"/>
    <mergeCell ref="B2:J2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